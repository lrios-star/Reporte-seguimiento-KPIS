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1499A7FE-01CB-4B32-BFEF-5E91C5C81B57}" xr6:coauthVersionLast="47" xr6:coauthVersionMax="47" xr10:uidLastSave="{00000000-0000-0000-0000-000000000000}"/>
  <bookViews>
    <workbookView xWindow="28680" yWindow="-120" windowWidth="29040" windowHeight="15720" firstSheet="1" activeTab="9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sem 39" sheetId="15" r:id="rId8"/>
    <sheet name="sem 40" sheetId="17" r:id="rId9"/>
    <sheet name="sem 41" sheetId="20" r:id="rId10"/>
    <sheet name="DETALLE MERMAS sem 41 " sheetId="18" r:id="rId11"/>
  </sheets>
  <externalReferences>
    <externalReference r:id="rId12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  <definedName name="_xlnm._FilterDatabase" localSheetId="7" hidden="1">'sem 39'!$E$1:$N$1</definedName>
    <definedName name="_xlnm._FilterDatabase" localSheetId="8" hidden="1">'sem 40'!$E$1:$N$1</definedName>
    <definedName name="_xlnm._FilterDatabase" localSheetId="9" hidden="1">'sem 41'!$E$1:$M$1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20" l="1"/>
  <c r="L3" i="20"/>
  <c r="L4" i="20"/>
  <c r="B5" i="20"/>
  <c r="L5" i="20"/>
  <c r="B6" i="20"/>
  <c r="L6" i="20"/>
  <c r="B7" i="20"/>
  <c r="L7" i="20"/>
  <c r="B8" i="20"/>
  <c r="L8" i="20"/>
  <c r="L9" i="20"/>
  <c r="L10" i="20"/>
  <c r="M10" i="20"/>
  <c r="L11" i="20"/>
  <c r="M11" i="20"/>
  <c r="L12" i="20"/>
  <c r="M12" i="20"/>
  <c r="L13" i="20"/>
  <c r="M13" i="20"/>
  <c r="B14" i="20"/>
  <c r="L14" i="20"/>
  <c r="M14" i="20"/>
  <c r="L15" i="20"/>
  <c r="B10" i="20" s="1"/>
  <c r="B11" i="20" s="1"/>
  <c r="M15" i="20"/>
  <c r="L16" i="20"/>
  <c r="M16" i="20"/>
  <c r="L17" i="20"/>
  <c r="M17" i="20"/>
  <c r="L18" i="20"/>
  <c r="M18" i="20"/>
  <c r="L19" i="20"/>
  <c r="M19" i="20"/>
  <c r="L20" i="20"/>
  <c r="M20" i="20"/>
  <c r="L21" i="20"/>
  <c r="M21" i="20"/>
  <c r="L22" i="20"/>
  <c r="M22" i="20"/>
  <c r="L23" i="20"/>
  <c r="M23" i="20"/>
  <c r="L24" i="20"/>
  <c r="M24" i="20"/>
  <c r="L25" i="20"/>
  <c r="M25" i="20"/>
  <c r="L26" i="20"/>
  <c r="M26" i="20"/>
  <c r="L27" i="20"/>
  <c r="M27" i="20"/>
  <c r="L28" i="20"/>
  <c r="M28" i="20"/>
  <c r="L29" i="20"/>
  <c r="M29" i="20"/>
  <c r="L30" i="20"/>
  <c r="M30" i="20"/>
  <c r="L31" i="20"/>
  <c r="M31" i="20"/>
  <c r="L32" i="20"/>
  <c r="M32" i="20"/>
  <c r="L33" i="20"/>
  <c r="M33" i="20"/>
  <c r="L34" i="20"/>
  <c r="M34" i="20"/>
  <c r="L35" i="20"/>
  <c r="M35" i="20"/>
  <c r="L36" i="20"/>
  <c r="M36" i="20"/>
  <c r="L37" i="20"/>
  <c r="M37" i="20"/>
  <c r="L38" i="20"/>
  <c r="M38" i="20"/>
  <c r="L39" i="20"/>
  <c r="M39" i="20"/>
  <c r="L40" i="20"/>
  <c r="M40" i="20"/>
  <c r="L41" i="20"/>
  <c r="M41" i="20"/>
  <c r="L42" i="20"/>
  <c r="M42" i="20"/>
  <c r="L43" i="20"/>
  <c r="M43" i="20"/>
  <c r="L44" i="20"/>
  <c r="M44" i="20"/>
  <c r="L45" i="20"/>
  <c r="M45" i="20"/>
  <c r="L46" i="20"/>
  <c r="M46" i="20"/>
  <c r="L47" i="20"/>
  <c r="M47" i="20"/>
  <c r="L48" i="20"/>
  <c r="M48" i="20"/>
  <c r="L49" i="20"/>
  <c r="M49" i="20"/>
  <c r="L50" i="20"/>
  <c r="M50" i="20"/>
  <c r="L51" i="20"/>
  <c r="M51" i="20"/>
  <c r="L52" i="20"/>
  <c r="M52" i="20"/>
  <c r="L53" i="20"/>
  <c r="M53" i="20"/>
  <c r="L54" i="20"/>
  <c r="M54" i="20"/>
  <c r="L55" i="20"/>
  <c r="M55" i="20"/>
  <c r="L56" i="20"/>
  <c r="M56" i="20"/>
  <c r="L57" i="20"/>
  <c r="M57" i="20"/>
  <c r="L58" i="20"/>
  <c r="M58" i="20"/>
  <c r="L59" i="20"/>
  <c r="M59" i="20"/>
  <c r="L60" i="20"/>
  <c r="M60" i="20"/>
  <c r="L61" i="20"/>
  <c r="M61" i="20"/>
  <c r="L62" i="20"/>
  <c r="M62" i="20"/>
  <c r="L63" i="20"/>
  <c r="M63" i="20"/>
  <c r="L64" i="20"/>
  <c r="M64" i="20"/>
  <c r="L65" i="20"/>
  <c r="M65" i="20"/>
  <c r="L66" i="20"/>
  <c r="M66" i="20"/>
  <c r="G2" i="18"/>
  <c r="G6" i="18"/>
  <c r="G13" i="18"/>
  <c r="G19" i="18"/>
  <c r="E21" i="18" s="1"/>
  <c r="G23" i="18"/>
  <c r="G31" i="18"/>
  <c r="G39" i="18"/>
  <c r="G45" i="18"/>
  <c r="E48" i="18" s="1"/>
  <c r="G50" i="18"/>
  <c r="E52" i="18" s="1"/>
  <c r="L2" i="17"/>
  <c r="L3" i="17"/>
  <c r="L4" i="17"/>
  <c r="B5" i="17"/>
  <c r="L5" i="17"/>
  <c r="B6" i="17"/>
  <c r="L6" i="17"/>
  <c r="B7" i="17"/>
  <c r="L7" i="17"/>
  <c r="B8" i="17"/>
  <c r="L8" i="17"/>
  <c r="M8" i="17"/>
  <c r="B9" i="17"/>
  <c r="L9" i="17"/>
  <c r="M9" i="17"/>
  <c r="B10" i="17"/>
  <c r="B11" i="17" s="1"/>
  <c r="L10" i="17"/>
  <c r="M10" i="17"/>
  <c r="L11" i="17"/>
  <c r="M11" i="17"/>
  <c r="L12" i="17"/>
  <c r="M12" i="17"/>
  <c r="L13" i="17"/>
  <c r="M13" i="17"/>
  <c r="B14" i="17"/>
  <c r="L14" i="17"/>
  <c r="M14" i="17"/>
  <c r="B15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M85" i="17"/>
  <c r="L86" i="17"/>
  <c r="M86" i="17"/>
  <c r="L2" i="15"/>
  <c r="L3" i="15"/>
  <c r="L4" i="15"/>
  <c r="B5" i="15"/>
  <c r="L5" i="15"/>
  <c r="B6" i="15"/>
  <c r="L6" i="15"/>
  <c r="B7" i="15"/>
  <c r="L7" i="15"/>
  <c r="B8" i="15"/>
  <c r="L8" i="15"/>
  <c r="L9" i="15"/>
  <c r="B10" i="15"/>
  <c r="B11" i="15" s="1"/>
  <c r="L10" i="15"/>
  <c r="M10" i="15"/>
  <c r="L11" i="15"/>
  <c r="M11" i="15"/>
  <c r="L12" i="15"/>
  <c r="M12" i="15"/>
  <c r="L13" i="15"/>
  <c r="M13" i="15"/>
  <c r="B14" i="15"/>
  <c r="L14" i="15"/>
  <c r="M14" i="15"/>
  <c r="L15" i="15"/>
  <c r="M15" i="15"/>
  <c r="L16" i="15"/>
  <c r="M16" i="15"/>
  <c r="L17" i="15"/>
  <c r="M17" i="15"/>
  <c r="L18" i="15"/>
  <c r="M18" i="15"/>
  <c r="L19" i="15"/>
  <c r="M19" i="15"/>
  <c r="L20" i="15"/>
  <c r="M20" i="15"/>
  <c r="L21" i="15"/>
  <c r="M21" i="15"/>
  <c r="L22" i="15"/>
  <c r="M22" i="15"/>
  <c r="L23" i="15"/>
  <c r="M23" i="15"/>
  <c r="L24" i="15"/>
  <c r="M24" i="15"/>
  <c r="L25" i="15"/>
  <c r="M25" i="15"/>
  <c r="L26" i="15"/>
  <c r="M26" i="15"/>
  <c r="L27" i="15"/>
  <c r="M27" i="15"/>
  <c r="L28" i="15"/>
  <c r="M28" i="15"/>
  <c r="L29" i="15"/>
  <c r="M29" i="15"/>
  <c r="L30" i="15"/>
  <c r="M30" i="15"/>
  <c r="L31" i="15"/>
  <c r="M31" i="15"/>
  <c r="L32" i="15"/>
  <c r="M32" i="15"/>
  <c r="L33" i="15"/>
  <c r="M33" i="15"/>
  <c r="L34" i="15"/>
  <c r="M34" i="15"/>
  <c r="L35" i="15"/>
  <c r="M35" i="15"/>
  <c r="L36" i="15"/>
  <c r="M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26" i="18" l="1"/>
  <c r="E27" i="18"/>
  <c r="E28" i="18"/>
  <c r="E29" i="18"/>
  <c r="E25" i="18"/>
  <c r="E35" i="18"/>
  <c r="E36" i="18"/>
  <c r="E42" i="18"/>
  <c r="E43" i="18"/>
  <c r="M3" i="20"/>
  <c r="M9" i="20"/>
  <c r="M5" i="20"/>
  <c r="M6" i="20"/>
  <c r="M2" i="20"/>
  <c r="M4" i="20"/>
  <c r="M8" i="20"/>
  <c r="B9" i="20"/>
  <c r="B15" i="20" s="1"/>
  <c r="M7" i="20"/>
  <c r="E2" i="18"/>
  <c r="E4" i="18"/>
  <c r="E3" i="18"/>
  <c r="E6" i="18"/>
  <c r="E7" i="18"/>
  <c r="E8" i="18"/>
  <c r="E9" i="18"/>
  <c r="E10" i="18"/>
  <c r="E14" i="18"/>
  <c r="E16" i="18"/>
  <c r="E17" i="18"/>
  <c r="E13" i="18"/>
  <c r="E15" i="18"/>
  <c r="E19" i="18"/>
  <c r="E20" i="18"/>
  <c r="E24" i="18"/>
  <c r="E23" i="18"/>
  <c r="E32" i="18"/>
  <c r="E34" i="18"/>
  <c r="E31" i="18"/>
  <c r="E33" i="18"/>
  <c r="E39" i="18"/>
  <c r="E41" i="18"/>
  <c r="E40" i="18"/>
  <c r="E45" i="18"/>
  <c r="E47" i="18"/>
  <c r="E46" i="18"/>
  <c r="E51" i="18"/>
  <c r="E50" i="18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5" i="17"/>
  <c r="M6" i="17"/>
  <c r="M2" i="17"/>
  <c r="M4" i="17"/>
  <c r="M3" i="17"/>
  <c r="M7" i="17"/>
  <c r="M2" i="15"/>
  <c r="M3" i="15"/>
  <c r="M4" i="15"/>
  <c r="M6" i="15"/>
  <c r="M8" i="15"/>
  <c r="M9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85" i="15"/>
  <c r="M86" i="15"/>
  <c r="M87" i="15"/>
  <c r="M88" i="15"/>
  <c r="M77" i="15"/>
  <c r="M78" i="15"/>
  <c r="M79" i="15"/>
  <c r="M80" i="15"/>
  <c r="M81" i="15"/>
  <c r="M82" i="15"/>
  <c r="M83" i="15"/>
  <c r="M84" i="15"/>
  <c r="M89" i="15"/>
  <c r="M90" i="15"/>
  <c r="B9" i="15"/>
  <c r="B15" i="15" s="1"/>
  <c r="M5" i="15"/>
  <c r="M7" i="15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<sst xmlns="http://schemas.openxmlformats.org/spreadsheetml/2006/main" count="1723" uniqueCount="485">
  <si>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</si>
  <si>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</si>
  <si>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</si>
  <si>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</si>
  <si>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</si>
  <si>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</si>
  <si>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</si>
  <si>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</si>
  <si>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</si>
  <si>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</si>
  <si>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</si>
  <si>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</si>
  <si>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</si>
  <si>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</si>
  <si>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</si>
  <si>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</si>
  <si>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</si>
  <si>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</si>
  <si>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</si>
  <si>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</si>
  <si>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</si>
  <si>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</si>
  <si>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</si>
  <si>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</si>
  <si>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</si>
  <si>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</si>
  <si>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</si>
  <si>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</si>
  <si>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</si>
  <si>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</si>
  <si>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</si>
  <si>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</si>
  <si>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</si>
  <si>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</si>
  <si>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</si>
  <si>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</si>
  <si>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</si>
  <si>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</si>
  <si>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</si>
  <si>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</si>
  <si>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</si>
  <si>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</si>
  <si>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</si>
  <si>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</si>
  <si>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</si>
  <si>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</si>
  <si>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</si>
  <si>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</si>
  <si>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</si>
  <si>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</si>
  <si>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</si>
  <si>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</si>
  <si>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</si>
  <si>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</si>
  <si>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</si>
  <si>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</si>
  <si>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</si>
  <si>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</si>
  <si>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</si>
  <si>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</si>
  <si>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</si>
  <si>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</si>
  <si>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</si>
  <si>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</si>
  <si>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</si>
  <si>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</si>
  <si>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</si>
  <si>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</si>
  <si>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</si>
  <si>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</si>
  <si>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</si>
  <si>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</si>
  <si>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</si>
  <si>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</si>
  <si>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</si>
  <si>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</si>
  <si>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</si>
  <si>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</si>
  <si>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</si>
  <si>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</si>
  <si>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</si>
  <si>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</si>
  <si>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</si>
  <si>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</si>
  <si>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</si>
  <si>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</si>
  <si>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</si>
  <si>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</si>
  <si>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</si>
  <si>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</si>
  <si>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</si>
  <si>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</si>
  <si>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</si>
  <si>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</si>
  <si>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</si>
  <si>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</si>
  <si>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</si>
  <si>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</si>
  <si>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</si>
  <si>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</si>
  <si>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</si>
  <si>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</si>
  <si>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</si>
  <si>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</si>
  <si>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</si>
  <si>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</si>
  <si>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</si>
  <si>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</si>
  <si>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</si>
  <si>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</si>
  <si>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</si>
  <si>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</si>
  <si>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</si>
  <si>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</si>
  <si>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</si>
  <si>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</si>
  <si>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</si>
  <si>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</si>
  <si>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</si>
  <si>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</si>
  <si>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</si>
  <si>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</si>
  <si>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</si>
  <si>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</si>
  <si>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</si>
  <si>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</si>
  <si>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</si>
  <si>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</si>
  <si>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</si>
  <si>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</si>
  <si>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</si>
  <si>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</si>
  <si>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</si>
  <si>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</si>
  <si>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</si>
  <si>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</si>
  <si>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</si>
  <si>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</si>
  <si>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</si>
  <si>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</si>
  <si>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</si>
  <si>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</si>
  <si>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</si>
  <si>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</si>
  <si>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</si>
  <si>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</si>
  <si>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</si>
  <si>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</si>
  <si>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</si>
  <si>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</si>
  <si>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</si>
  <si>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</si>
  <si>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</si>
  <si>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</si>
  <si>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</si>
  <si>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</si>
  <si>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</si>
  <si>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</si>
  <si>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</si>
  <si>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</si>
  <si>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</si>
  <si>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</si>
  <si>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</si>
  <si>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</si>
  <si>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</si>
  <si>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</si>
  <si>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</si>
  <si>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</si>
  <si>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</si>
  <si>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</si>
  <si>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</si>
  <si>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</si>
  <si>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</si>
  <si>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</si>
  <si>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</si>
  <si>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</si>
  <si>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</si>
  <si>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</si>
  <si>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</si>
  <si>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</si>
  <si>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</si>
  <si>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</si>
  <si>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</si>
  <si>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</si>
  <si>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</si>
  <si>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</si>
  <si>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</si>
  <si>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</si>
  <si>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</si>
  <si>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</si>
  <si>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</si>
  <si>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</si>
  <si>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</si>
  <si>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</si>
  <si>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</si>
  <si>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</si>
  <si>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</si>
  <si>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</si>
  <si>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</si>
  <si>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</si>
  <si>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</si>
  <si>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</si>
  <si>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</si>
  <si>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</si>
  <si>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</si>
  <si>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</si>
  <si>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</si>
  <si>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</si>
  <si>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</si>
  <si>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</si>
  <si>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</si>
  <si>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</si>
  <si>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</si>
  <si>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</si>
  <si>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</si>
  <si>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</si>
  <si>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</si>
  <si>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</si>
  <si>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</si>
  <si>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</si>
  <si>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</si>
  <si>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</si>
  <si>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</si>
  <si>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</si>
  <si>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</si>
  <si>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</si>
  <si>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</si>
  <si>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</si>
  <si>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</si>
  <si>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</si>
  <si>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</si>
  <si>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</si>
  <si>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</si>
  <si>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</si>
  <si>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</si>
  <si>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</si>
  <si>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</si>
  <si>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</si>
  <si>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</si>
  <si>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</si>
  <si>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</si>
  <si>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UN</t>
  </si>
  <si>
    <t>MT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</si>
  <si>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</si>
  <si>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</si>
  <si>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</si>
  <si>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</si>
  <si>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</si>
  <si>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</si>
  <si>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</si>
  <si>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</si>
  <si>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</si>
  <si>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</si>
  <si>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</si>
  <si>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</si>
  <si>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</si>
  <si>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</si>
  <si>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</si>
  <si>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</si>
  <si>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</si>
  <si>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</si>
  <si>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</si>
  <si>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</si>
  <si>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</si>
  <si>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</si>
  <si>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</si>
  <si>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</si>
  <si>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</si>
  <si>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</si>
  <si>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</si>
  <si>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</si>
  <si>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</si>
  <si>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</si>
  <si>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</si>
  <si>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</si>
  <si>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</si>
  <si>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</si>
  <si>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</si>
  <si>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</si>
  <si>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</si>
  <si>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</si>
  <si>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</si>
  <si>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</si>
  <si>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</si>
  <si>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</si>
  <si>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</si>
  <si>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</si>
  <si>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</si>
  <si>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</si>
  <si>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</si>
  <si>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</si>
  <si>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</si>
  <si>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</si>
  <si>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</si>
  <si>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</si>
  <si>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</si>
  <si>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</si>
  <si>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</si>
  <si>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</si>
  <si>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</si>
  <si>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</si>
  <si>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</si>
  <si>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</si>
  <si>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</si>
  <si>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</si>
  <si>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</si>
  <si>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</si>
  <si>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</si>
  <si>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</si>
  <si>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</si>
  <si>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</si>
  <si>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</si>
  <si>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</si>
  <si>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</si>
  <si>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</si>
  <si>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</si>
  <si>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</si>
  <si>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</si>
  <si>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</si>
  <si>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</si>
  <si>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</si>
  <si>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</si>
  <si>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</si>
  <si>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</si>
  <si>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</si>
  <si>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</si>
  <si>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</si>
  <si>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</si>
  <si>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</si>
  <si>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</si>
  <si>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</si>
  <si>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</si>
  <si>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</si>
  <si>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</si>
  <si>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</si>
  <si>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</si>
  <si>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</si>
  <si>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</si>
  <si>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</si>
  <si>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</si>
  <si>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</si>
  <si>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</si>
  <si>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</si>
  <si>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</si>
  <si>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</si>
  <si>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</si>
  <si>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</si>
  <si>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</si>
  <si>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</si>
  <si>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</si>
  <si>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</si>
  <si>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</si>
  <si>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</si>
  <si>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</si>
  <si>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</si>
  <si>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</si>
  <si>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</si>
  <si>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</si>
  <si>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</si>
  <si>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</si>
  <si>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</si>
  <si>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</si>
  <si>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</si>
  <si>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</si>
  <si>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</si>
  <si>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</si>
  <si>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</si>
  <si>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</si>
  <si>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</si>
  <si>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</si>
  <si>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</si>
  <si>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</si>
  <si>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COLUN</t>
  </si>
  <si>
    <t>FSLIP90U456CLBB</t>
  </si>
  <si>
    <t>FSHIP70U430CLBB</t>
  </si>
  <si>
    <t>FSLIP130U456CLBB</t>
  </si>
  <si>
    <t>BOLSA TERMOCONTRAIBLE - VC1 - 450X750MM SELLO RECTO</t>
  </si>
  <si>
    <t>DIWATT</t>
  </si>
  <si>
    <t>BOLSA TERMOCONTRAIBLE - VC5 - 200X475MM CLEAR - SELLO CURVO</t>
  </si>
  <si>
    <t>FILM TERMOSELLADO - VPP3 AF 37U - 420MM CLEAR - BOBINA</t>
  </si>
  <si>
    <t>MAFRISUR - LOGO MAFRISUR 1 COLOR - 300X450MM CLEAR - SELLO CURVO</t>
  </si>
  <si>
    <t>MAFRISUR - LOGO MAFRISUR 1 COLOR - 300X550MM CLEAR - SELLO CURVO</t>
  </si>
  <si>
    <t>TRIPA FIBROSA - ST REGULAR - C70 CLEAR - CORRUGADO</t>
  </si>
  <si>
    <t>PECHUGA DE PAVO COCIDA SIN GLUTEN LA PREFERIDA - 250X420MM CLEAR - SELLO CURVO</t>
  </si>
  <si>
    <t>JAMON COLONIAL 1 PIEZA SAN JORGE LIBRE DE GLUTEN 350X535MM SELLO CURVO</t>
  </si>
  <si>
    <t>TRIPA FIBROSA - FLX - 60MM CLEAR - CORRUGADO</t>
  </si>
  <si>
    <t>CIAL - SAN JORGE - JAMON ARTESANAL - 300X480MM CLEAR - SELLO CURVO</t>
  </si>
  <si>
    <t>MOLIDA CORRIENTE (ROJO) VIENTO SUR 1K PCS CORRUGADA</t>
  </si>
  <si>
    <t>MOLIDA ESPECIAL 1KG VIENTO SUR (AZUL)</t>
  </si>
  <si>
    <t>ALICO</t>
  </si>
  <si>
    <t>BOLSA TERMOCONTRAIBLE - VC1 - 230X635MM SELLO CURVO</t>
  </si>
  <si>
    <t>JAMON PÍERNA ARTESANAL SUPER CERDO 300X480 SC</t>
  </si>
  <si>
    <t>ARROLLADO LOMO SIN AJI SAN JORGE 230X535MM SELLO CURVO</t>
  </si>
  <si>
    <t>ARROLLADO HUASO SAN JORGE 200X420MM SELLO CURVO</t>
  </si>
  <si>
    <t>TRIPA FIBROSA - FLX - 55MM CLEAR - CORRUGADO</t>
  </si>
  <si>
    <t>SAN JORGE - JAMON ARTESANAL MINI PIEZA 230X535MM</t>
  </si>
  <si>
    <t>WINTER - JAMON ACARAMELADO LIBRE DE GLUTEN 300X420MM</t>
  </si>
  <si>
    <t>PATE DE TERNERA SAN JORGE 125 GR</t>
  </si>
  <si>
    <t>vs 21-09</t>
  </si>
  <si>
    <t>CIAL - SAN JORGE - JAMON PLANCHADO - 250X480MM CLEAR - SELLO CURVO</t>
  </si>
  <si>
    <t>DON HERNAN - PRIETAS DE CAMPO MERKEN - 160X350MM CLEAR - SELLO CURVO</t>
  </si>
  <si>
    <t>DIWATT´S S.A.</t>
  </si>
  <si>
    <t>BOLSA TERMOCONTRAIBLE - VC5 - 230X475MM CLEAR - SELLO RECTO</t>
  </si>
  <si>
    <t>MARFRIG</t>
  </si>
  <si>
    <t>TRIPA PLASTICA - P6 - 180MM WHITE - CORRUGADO</t>
  </si>
  <si>
    <t>LACTEOS SAN IGNACIO</t>
  </si>
  <si>
    <t>BOLSA TERMOCONTRAIBLE - VC3 - 225X530MM YELLOW - SELLO CURVO</t>
  </si>
  <si>
    <t>BOLSA TERMOCONTRAIBLE - VC3 - 250X475MM YELLOW - SELLO CURVO CON TAPE</t>
  </si>
  <si>
    <t>ALIMENTOS SAN MARTIN</t>
  </si>
  <si>
    <t>BOLSA HUESO TERMOCONTRAIBLE - VHR - 205X400MM CLEAR - SELLO RECTO</t>
  </si>
  <si>
    <t>EMBUTIDOS DIAZ SPA</t>
  </si>
  <si>
    <t>TRIPA FIBROSA - ST REGULAR - CAL 120X530MM - CORTE CLIP</t>
  </si>
  <si>
    <t>BOLSA TERMOCONTRAIBLE - VC5 - 300X400MM CLEAR - SELLO CURVO</t>
  </si>
  <si>
    <t>BOLSA HUESO TERMOCONTRAIBLE - VHR - 250X350MM SELLO RECTO</t>
  </si>
  <si>
    <t>LACTEOS MATTHEI</t>
  </si>
  <si>
    <t>BOLSA TERMOCONTRAIBLE - VC1 - 230X280MM SELLO CURVO</t>
  </si>
  <si>
    <t>BOLSA TERMOCONTRAIBLE - VC5 - 250X300MM CLEAR - SELLO RECTO</t>
  </si>
  <si>
    <t>BOLSA TERMOCONTRAIBLE - VC1 - 250X500MM CLEAR - SELLO CURVO</t>
  </si>
  <si>
    <t>MAFRISUR - LOGO MAFRISUR 1 COLOR - 400X550MM CLEAR - SELLO CURVO</t>
  </si>
  <si>
    <t>BOLSA HUESO TERMOCONTRAIBLE - VHR - 250X400MM SELLO RECTO</t>
  </si>
  <si>
    <t>BOLSA TERMOCONTRAIBLE - VC5 - 450X550MM CLEAR - SELLO CURVO</t>
  </si>
  <si>
    <t>LACTEOS SAN SEBASTIAN</t>
  </si>
  <si>
    <t>BOLSA TERMOCONTRAIBLE - VC5 - 200X300MM CLEAR - SELLO CURVO</t>
  </si>
  <si>
    <t>TRIPA PLASTICA - PCS - 65MM CLEAR - LACADA - CORRUGADA</t>
  </si>
  <si>
    <t>ALSUR</t>
  </si>
  <si>
    <t>BOLSA TERMOCONTRAIBLE - VC1 - 160X200MM CLEAR - CORTE CUÑO</t>
  </si>
  <si>
    <t>BOLSA TERMOCONTRAIBLE - VC1 - 85X350MM CLEAR CORTE CUÑO</t>
  </si>
  <si>
    <t>LOGO MAFRISUR HUESO 1 COLOR - 205X500MM CLEAR - SELLO RECTO</t>
  </si>
  <si>
    <t>MAFRISUR - LOGO MAFRISUR 1 COLOR - 200X500MM CLEAR - SELLO CURVO</t>
  </si>
  <si>
    <t>TRIPA FIBROSA - ST REGULAR - CAL 140X550MM CLEAR - CORTE CLIP</t>
  </si>
  <si>
    <t>BOLSA TERMOCONTRAIBLE - VC1 - 350X500MM SELLO CURVO</t>
  </si>
  <si>
    <t>BOLSA TERMOCONTRAIBLE - VC5 - 250X400MM CLEAR - SELLO RECTO</t>
  </si>
  <si>
    <t>ESCUDERO - ARROLLADO HUASO TRADICIONAL 1KG - 200X300MM CLEAR - SELLO CURVO</t>
  </si>
  <si>
    <t>JAMON ACARAMELADO LIBRE DE GLUTEN SAN JORGE</t>
  </si>
  <si>
    <t>BIANCHINI</t>
  </si>
  <si>
    <t>BIANCHINI - GALANTINA CON HUEVO 230X380MM CLEAR - SELLO CURVO</t>
  </si>
  <si>
    <t>PLAYA VENADO</t>
  </si>
  <si>
    <t>QUESO JERSEY PLAYA VENADO 160X250MM</t>
  </si>
  <si>
    <t>WINTER - COPPA MOLDE - 230X535MM</t>
  </si>
  <si>
    <t>JAMON COLONIAL 1/2 PIEZA SAN JORGE LIBRE DE GLUTEN</t>
  </si>
  <si>
    <t>LONGANIZAS DE CERDO (AMARILLO) - 200X350MM CLEAR - SELLO CURVO</t>
  </si>
  <si>
    <t>RUNCA - QUESO MANTECOSO 900G 200X300 - SELLO CURVO</t>
  </si>
  <si>
    <t>ARROLLADO HUASO BIANCHINI 200X450MM CLEAR SELLO CURVO</t>
  </si>
  <si>
    <t>BIANCHINI - ARROLLADO LOMO 200X520MM CLEAR - SELLO CURVO</t>
  </si>
  <si>
    <t>MOLIDA SAN JORGE</t>
  </si>
  <si>
    <t>PATE SABOR CAMPO 125G FUNDO RIO ALEGRE- SAN PABLO CORRUGADO</t>
  </si>
  <si>
    <t>BIANCHINI - GALANTINA CON HUEVO 230X520MM CLEAR - SELLO CURVO</t>
  </si>
  <si>
    <t>PASTA DE JAMON SAN JORGE 125 GR</t>
  </si>
  <si>
    <t>SAN MATEO</t>
  </si>
  <si>
    <t>CARNE MOLIDA DE VACUNO 1KG SAN MATEO - CORRUGADO</t>
  </si>
  <si>
    <t>JORGE LEON BARRERA</t>
  </si>
  <si>
    <t>BOLSA TERMOCONTRAIBLE - VC5 - 230X300MM SELLO CURVO</t>
  </si>
  <si>
    <t>BOLSA TERMOCONTRAIBLE - VC5 - 230X350MM SELLO CURVO</t>
  </si>
  <si>
    <t>BOLSA TERMOCONTRAIBLE - VC5 - 230X500MM SELLO CURVO</t>
  </si>
  <si>
    <t>TRIPA PLASTICA P6 175MM CLEAR - CORRUGADO</t>
  </si>
  <si>
    <t>BOLSA TERMOCONTRAIBLE - VC1 - 250X450MM SELLO CURVO</t>
  </si>
  <si>
    <t>ARAMARK</t>
  </si>
  <si>
    <t>FTF-LAB-63U280CLBB</t>
  </si>
  <si>
    <t>TRIPA FIBROSA - ST REGULAR - C140 X410MM - CORTE CLIP</t>
  </si>
  <si>
    <t>BOLSA TERMOCONTRAIBLE - VC1 - 200X420MM CLEAR - SELLO CURVO</t>
  </si>
  <si>
    <t>TRIPA FIBROSA C90 CORRUGADA PERFORADA</t>
  </si>
  <si>
    <t>EL LAUREL</t>
  </si>
  <si>
    <t>BOLSA TERMOCONTRAIBLE - VC5 - 400X400MM CLEAR - SELLO CURVO</t>
  </si>
  <si>
    <t>TRIPA FIBROSA C90 CARAMELO – CORRUGADA PERFORADA</t>
  </si>
  <si>
    <t>BOLSA TERMOCONTRAIBLE - VC5 - 400X450MM CLEAR - SELLO CURVO</t>
  </si>
  <si>
    <t>SOUTH WIND</t>
  </si>
  <si>
    <t>VCX (60PE/40PA) 90U 130MM CLEAR PERFORADO CORRUGADO</t>
  </si>
  <si>
    <t>BOLSA TERMOCONTRAIBLE - VC5 - 400X600MM CLEAR - SELLO CURVO</t>
  </si>
  <si>
    <t>TRIPA FIBROSA C105 CARAMELO – CORRUGADA PERFORADA</t>
  </si>
  <si>
    <t>BOLSA TERMOCONTRAIBLE - VC5 - 200X400MM CLEAR - SELLO CURVO</t>
  </si>
  <si>
    <t>LA PREFERIDA - PECHUGA DE PAVO AHUMADA SIN GLUTEN</t>
  </si>
  <si>
    <t>TRIPA PLASTICA - VCX - 175X1400MM CLEAR - PERFORADO SOLO CORTE</t>
  </si>
  <si>
    <t>PECHUGA POLLO ACARAMELADA SAN JORGE 250X480MM</t>
  </si>
  <si>
    <t>BOLSA TERMOCONTRAIBLE - VC1 - 300X650MM CLEAR</t>
  </si>
  <si>
    <t>BARF CHILE - ALIMENTO NATURAL VACUNO 200G - CORRUGADO</t>
  </si>
  <si>
    <t>BARF CHILE - ALIMENTO NATURAL POLLO PARA PERROS 200G - CORRUGADO</t>
  </si>
  <si>
    <t>COSTILLAR AHUMADO DON HERNAN - 200X600MM CLEAR - SELLO RECTO BOLSA HUESO</t>
  </si>
  <si>
    <t>ESCUDERO - PRIETA DE CERDO ESCUDERO - 160X380MM CLEAR - SELLO RECTO</t>
  </si>
  <si>
    <t>SAN JORGE - FIAMBRE JAMON SANDWICH SIN GLUTEN - CORRUGADO</t>
  </si>
  <si>
    <t>SALCHICHON CERVEZA WINTER 1.6K</t>
  </si>
  <si>
    <t>QUESO FUNDO STAESTER - 225X300MM YELLOW - SELLO CURVO</t>
  </si>
  <si>
    <t>CERVEZA WINTER MINI</t>
  </si>
  <si>
    <t>LA PREFERIDA - PECHUGA DE PAVO ACARAMELADA SIN GLUTEN</t>
  </si>
  <si>
    <t>BOLSA TERMOCONTRAIBLE - VC1 - 250X300MM SELLO RECTO</t>
  </si>
  <si>
    <t>BOLOGNA WINTER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</si>
</sst>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1" fontId="0" fillId="0" borderId="6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164" fontId="0" fillId="0" borderId="1" xfId="2" applyNumberFormat="1" applyFont="1" applyBorder="1"/>
    <xf numFmtId="10" fontId="4" fillId="0" borderId="0" xfId="2" applyNumberFormat="1" applyFont="1" applyBorder="1"/>
    <xf numFmtId="41" fontId="4" fillId="0" borderId="0" xfId="1" applyFont="1" applyBorder="1"/>
    <xf numFmtId="164" fontId="0" fillId="0" borderId="0" xfId="2" applyNumberFormat="1" applyFont="1" applyBorder="1"/>
    <xf numFmtId="10" fontId="5" fillId="0" borderId="0" xfId="2" applyNumberFormat="1" applyFont="1" applyBorder="1"/>
    <xf numFmtId="10" fontId="2" fillId="4" borderId="1" xfId="0" applyNumberFormat="1" applyFont="1" applyFill="1" applyBorder="1"/>
    <xf numFmtId="0" fontId="2" fillId="4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Seguimiento%20Semanal%20KPIS.xlsx" TargetMode="External"/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/Users/Usuario/Downloads/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28-09"/>
      <sheetName val="05-10"/>
      <sheetName val="13-10"/>
      <sheetName val="DETALLE MERMAS sem41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>
        <row r="8">
          <cell r="B8">
            <v>20915</v>
          </cell>
        </row>
        <row r="9">
          <cell r="B9">
            <v>5.2400160344741195E-2</v>
          </cell>
        </row>
      </sheetData>
      <sheetData sheetId="15">
        <row r="8">
          <cell r="B8">
            <v>36867</v>
          </cell>
        </row>
        <row r="9">
          <cell r="B9">
            <v>4.2500187329602111E-2</v>
          </cell>
        </row>
      </sheetData>
      <sheetData sheetId="16">
        <row r="8">
          <cell r="B8">
            <v>50221</v>
          </cell>
        </row>
        <row r="9">
          <cell r="B9">
            <v>6.564836601307189E-2</v>
          </cell>
        </row>
      </sheetData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22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5" t="s">
        <v>119</v>
      </c>
      <c r="B1" s="55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21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20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250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39"/>
      <c r="E10" s="9">
        <v>32963</v>
      </c>
      <c r="F10" s="32" t="s">
        <v>250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267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250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269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267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268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267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266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250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265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264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263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263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263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262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261</v>
      </c>
      <c r="G46" s="9" t="s">
        <v>260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254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259</v>
      </c>
      <c r="G51" s="9" t="s">
        <v>258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257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256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255</v>
      </c>
      <c r="G60" s="9" t="s">
        <v>254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255</v>
      </c>
      <c r="G61" s="9" t="s">
        <v>254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255</v>
      </c>
      <c r="G62" s="9" t="s">
        <v>254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253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252</v>
      </c>
      <c r="G65" s="9" t="s">
        <v>251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0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9" priority="3"/>
  </conditionalFormatting>
  <conditionalFormatting sqref="D7">
    <cfRule type="duplicateValues" dxfId="18" priority="2"/>
  </conditionalFormatting>
  <conditionalFormatting sqref="D8">
    <cfRule type="duplicateValues" dxfId="17" priority="1"/>
  </conditionalFormatting>
  <conditionalFormatting sqref="E2:E1048576">
    <cfRule type="duplicateValues" dxfId="16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293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293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285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293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292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39"/>
      <c r="E10" s="9">
        <v>32992</v>
      </c>
      <c r="F10" s="32" t="s">
        <v>291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290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289</v>
      </c>
      <c r="G13" s="9" t="s">
        <v>288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273</v>
      </c>
      <c r="G14" s="9" t="s">
        <v>271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3">
        <f>B9-'[1]31-08'!B9</f>
        <v>6.1046003200982552E-4</v>
      </c>
      <c r="E15" s="9">
        <v>33095</v>
      </c>
      <c r="F15" s="32" t="s">
        <v>287</v>
      </c>
      <c r="G15" s="9" t="s">
        <v>286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285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279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284</v>
      </c>
      <c r="G18" s="9" t="s">
        <v>283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274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274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282</v>
      </c>
      <c r="G22" s="9" t="s">
        <v>271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281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280</v>
      </c>
      <c r="G24" s="9" t="s">
        <v>271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273</v>
      </c>
      <c r="G26" s="9" t="s">
        <v>271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279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278</v>
      </c>
      <c r="G30" s="9" t="s">
        <v>277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257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276</v>
      </c>
      <c r="G32" s="9" t="s">
        <v>275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274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273</v>
      </c>
      <c r="G37" s="9" t="s">
        <v>271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272</v>
      </c>
      <c r="G38" s="9" t="s">
        <v>271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0"/>
    </row>
  </sheetData>
  <autoFilter ref="E1:N1" xr:uid="{ED0A2852-B90F-4E5C-9DCF-FC384D5546E0}"/>
  <mergeCells count="1">
    <mergeCell ref="A1:B1"/>
  </mergeCells>
  <conditionalFormatting sqref="D2:D6">
    <cfRule type="duplicateValues" dxfId="15" priority="3"/>
  </conditionalFormatting>
  <conditionalFormatting sqref="D7">
    <cfRule type="duplicateValues" dxfId="14" priority="2"/>
  </conditionalFormatting>
  <conditionalFormatting sqref="D8">
    <cfRule type="duplicateValues" dxfId="13" priority="1"/>
  </conditionalFormatting>
  <conditionalFormatting sqref="E2:E41">
    <cfRule type="duplicateValues" dxfId="12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F1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4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341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5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336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5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309</v>
      </c>
      <c r="G4" s="9" t="s">
        <v>308</v>
      </c>
      <c r="H4" s="8">
        <v>46275</v>
      </c>
      <c r="I4" s="7">
        <v>7600</v>
      </c>
      <c r="J4" s="7">
        <v>6175</v>
      </c>
      <c r="K4" s="7">
        <v>1425</v>
      </c>
      <c r="L4" s="45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340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5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339</v>
      </c>
      <c r="G6" s="9" t="s">
        <v>338</v>
      </c>
      <c r="H6" s="8">
        <v>46272</v>
      </c>
      <c r="I6" s="7">
        <v>1900</v>
      </c>
      <c r="J6" s="7">
        <v>1668</v>
      </c>
      <c r="K6" s="7">
        <v>232</v>
      </c>
      <c r="L6" s="45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337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5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335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5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335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5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39"/>
      <c r="E10" s="9">
        <v>32970</v>
      </c>
      <c r="F10" s="32" t="s">
        <v>250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5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321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5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336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5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335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5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335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5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334</v>
      </c>
      <c r="G15" s="9" t="s">
        <v>313</v>
      </c>
      <c r="H15" s="8">
        <v>46276</v>
      </c>
      <c r="I15" s="7">
        <v>8000</v>
      </c>
      <c r="J15" s="7">
        <v>7500</v>
      </c>
      <c r="K15" s="7">
        <v>500</v>
      </c>
      <c r="L15" s="45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333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5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307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5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332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5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331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5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330</v>
      </c>
      <c r="G20" s="9" t="s">
        <v>329</v>
      </c>
      <c r="H20" s="8">
        <v>46274</v>
      </c>
      <c r="I20" s="9">
        <v>2100</v>
      </c>
      <c r="J20" s="9">
        <v>1989</v>
      </c>
      <c r="K20" s="9">
        <v>111</v>
      </c>
      <c r="L20" s="45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328</v>
      </c>
      <c r="G21" s="9" t="s">
        <v>327</v>
      </c>
      <c r="H21" s="8">
        <v>46273</v>
      </c>
      <c r="I21" s="7">
        <v>18000</v>
      </c>
      <c r="J21" s="7">
        <v>17070</v>
      </c>
      <c r="K21" s="7">
        <v>930</v>
      </c>
      <c r="L21" s="45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326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5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250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5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325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5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322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5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317</v>
      </c>
      <c r="G26" s="9" t="s">
        <v>313</v>
      </c>
      <c r="H26" s="8">
        <v>46274</v>
      </c>
      <c r="I26" s="7">
        <v>10000</v>
      </c>
      <c r="J26" s="7">
        <v>9600</v>
      </c>
      <c r="K26" s="7">
        <v>400</v>
      </c>
      <c r="L26" s="45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285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5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317</v>
      </c>
      <c r="G28" s="9" t="s">
        <v>313</v>
      </c>
      <c r="H28" s="8">
        <v>46275</v>
      </c>
      <c r="I28" s="7">
        <v>12000</v>
      </c>
      <c r="J28" s="7">
        <v>11550</v>
      </c>
      <c r="K28" s="7">
        <v>450</v>
      </c>
      <c r="L28" s="45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312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5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324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5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282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5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319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5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323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5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287</v>
      </c>
      <c r="G34" s="9" t="s">
        <v>286</v>
      </c>
      <c r="H34" s="8">
        <v>46273</v>
      </c>
      <c r="I34" s="9">
        <v>3800</v>
      </c>
      <c r="J34" s="9">
        <v>3680</v>
      </c>
      <c r="K34" s="9">
        <v>120</v>
      </c>
      <c r="L34" s="45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309</v>
      </c>
      <c r="G35" s="9" t="s">
        <v>308</v>
      </c>
      <c r="H35" s="8">
        <v>46275</v>
      </c>
      <c r="I35" s="7">
        <v>7600</v>
      </c>
      <c r="J35" s="7">
        <v>7366</v>
      </c>
      <c r="K35" s="7">
        <v>234</v>
      </c>
      <c r="L35" s="45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322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5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319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5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309</v>
      </c>
      <c r="G38" s="9" t="s">
        <v>308</v>
      </c>
      <c r="H38" s="8">
        <v>46275</v>
      </c>
      <c r="I38" s="7">
        <v>7600</v>
      </c>
      <c r="J38" s="7">
        <v>7381</v>
      </c>
      <c r="K38" s="7">
        <v>219</v>
      </c>
      <c r="L38" s="45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287</v>
      </c>
      <c r="G39" s="9" t="s">
        <v>286</v>
      </c>
      <c r="H39" s="8">
        <v>46273</v>
      </c>
      <c r="I39" s="9">
        <v>3800</v>
      </c>
      <c r="J39" s="9">
        <v>3691</v>
      </c>
      <c r="K39" s="9">
        <v>109</v>
      </c>
      <c r="L39" s="45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321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5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319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5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312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5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320</v>
      </c>
      <c r="G43" s="9" t="s">
        <v>313</v>
      </c>
      <c r="H43" s="8">
        <v>46275</v>
      </c>
      <c r="I43" s="7">
        <v>12000</v>
      </c>
      <c r="J43" s="7">
        <v>11750</v>
      </c>
      <c r="K43" s="7">
        <v>250</v>
      </c>
      <c r="L43" s="45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319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5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314</v>
      </c>
      <c r="G45" s="9" t="s">
        <v>313</v>
      </c>
      <c r="H45" s="8">
        <v>46275</v>
      </c>
      <c r="I45" s="7">
        <v>10000</v>
      </c>
      <c r="J45" s="7">
        <v>9800</v>
      </c>
      <c r="K45" s="7">
        <v>200</v>
      </c>
      <c r="L45" s="45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319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5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318</v>
      </c>
      <c r="G47" s="9" t="s">
        <v>313</v>
      </c>
      <c r="H47" s="8">
        <v>46275</v>
      </c>
      <c r="I47" s="7">
        <v>8000</v>
      </c>
      <c r="J47" s="7">
        <v>7850</v>
      </c>
      <c r="K47" s="7">
        <v>150</v>
      </c>
      <c r="L47" s="45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315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5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317</v>
      </c>
      <c r="G49" s="9" t="s">
        <v>313</v>
      </c>
      <c r="H49" s="8">
        <v>46274</v>
      </c>
      <c r="I49" s="7">
        <v>16000</v>
      </c>
      <c r="J49" s="7">
        <v>15750</v>
      </c>
      <c r="K49" s="7">
        <v>250</v>
      </c>
      <c r="L49" s="45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316</v>
      </c>
      <c r="G50" s="9" t="s">
        <v>313</v>
      </c>
      <c r="H50" s="8">
        <v>46275</v>
      </c>
      <c r="I50" s="7">
        <v>16000</v>
      </c>
      <c r="J50" s="7">
        <v>15750</v>
      </c>
      <c r="K50" s="7">
        <v>250</v>
      </c>
      <c r="L50" s="45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315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5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315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5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314</v>
      </c>
      <c r="G53" s="9" t="s">
        <v>313</v>
      </c>
      <c r="H53" s="8">
        <v>46275</v>
      </c>
      <c r="I53" s="9">
        <v>12000</v>
      </c>
      <c r="J53" s="9">
        <v>11850</v>
      </c>
      <c r="K53" s="9">
        <v>150</v>
      </c>
      <c r="L53" s="45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312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5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311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5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310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5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309</v>
      </c>
      <c r="G57" s="9" t="s">
        <v>308</v>
      </c>
      <c r="H57" s="8">
        <v>46275</v>
      </c>
      <c r="I57" s="9">
        <v>7600</v>
      </c>
      <c r="J57" s="9">
        <v>7534</v>
      </c>
      <c r="K57" s="9">
        <v>66</v>
      </c>
      <c r="L57" s="45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307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5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5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306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5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300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5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297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5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305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5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304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5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303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5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302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5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301</v>
      </c>
      <c r="G67" s="9" t="s">
        <v>266</v>
      </c>
      <c r="H67" s="8">
        <v>46273</v>
      </c>
      <c r="I67" s="9">
        <v>2000</v>
      </c>
      <c r="J67" s="9">
        <v>2066</v>
      </c>
      <c r="K67" s="9">
        <v>0</v>
      </c>
      <c r="L67" s="45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300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5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299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5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298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5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297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5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296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5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295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5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294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5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11" priority="3"/>
  </conditionalFormatting>
  <conditionalFormatting sqref="D7">
    <cfRule type="duplicateValues" dxfId="10" priority="2"/>
  </conditionalFormatting>
  <conditionalFormatting sqref="D8">
    <cfRule type="duplicateValues" dxfId="9" priority="1"/>
  </conditionalFormatting>
  <conditionalFormatting sqref="E2:E41">
    <cfRule type="duplicateValues" dxfId="8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FF0000"/>
    <pageSetUpPr fitToPage="1"/>
  </sheetPr>
  <dimension ref="A1:N61"/>
  <sheetViews>
    <sheetView topLeftCell="F1" zoomScaleNormal="100" workbookViewId="0">
      <selection activeCell="F30" sqref="F3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371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5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370</v>
      </c>
      <c r="G3" s="9" t="s">
        <v>288</v>
      </c>
      <c r="H3" s="8">
        <v>46279</v>
      </c>
      <c r="I3" s="7">
        <v>6800</v>
      </c>
      <c r="J3" s="7">
        <v>5225</v>
      </c>
      <c r="K3" s="7">
        <v>1575</v>
      </c>
      <c r="L3" s="45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369</v>
      </c>
      <c r="G4" s="9" t="s">
        <v>338</v>
      </c>
      <c r="H4" s="8">
        <v>46279</v>
      </c>
      <c r="I4" s="7">
        <v>4200</v>
      </c>
      <c r="J4" s="7">
        <v>2835</v>
      </c>
      <c r="K4" s="7">
        <v>1365</v>
      </c>
      <c r="L4" s="45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360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5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250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5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368</v>
      </c>
      <c r="G7" s="9" t="s">
        <v>338</v>
      </c>
      <c r="H7" s="8">
        <v>46280</v>
      </c>
      <c r="I7" s="7">
        <v>3800</v>
      </c>
      <c r="J7" s="7">
        <v>2590</v>
      </c>
      <c r="K7" s="7">
        <v>1210</v>
      </c>
      <c r="L7" s="45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367</v>
      </c>
      <c r="G8" s="9" t="s">
        <v>338</v>
      </c>
      <c r="H8" s="8">
        <v>46280</v>
      </c>
      <c r="I8" s="7">
        <v>6360</v>
      </c>
      <c r="J8" s="7">
        <v>5352</v>
      </c>
      <c r="K8" s="7">
        <v>1008</v>
      </c>
      <c r="L8" s="45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267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5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39"/>
      <c r="E10" s="9">
        <v>33180</v>
      </c>
      <c r="F10" s="32" t="s">
        <v>359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5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48">
        <f>B10/B5</f>
        <v>0.28333333333333333</v>
      </c>
      <c r="E11" s="9">
        <v>33022</v>
      </c>
      <c r="F11" s="32" t="s">
        <v>360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5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366</v>
      </c>
      <c r="G12" s="9" t="s">
        <v>338</v>
      </c>
      <c r="H12" s="8">
        <v>46280</v>
      </c>
      <c r="I12" s="7">
        <v>4000</v>
      </c>
      <c r="J12" s="7">
        <v>3180</v>
      </c>
      <c r="K12" s="7">
        <v>820</v>
      </c>
      <c r="L12" s="45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333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5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336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5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364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5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365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5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360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5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364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5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322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5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363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5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362</v>
      </c>
      <c r="G21" s="9" t="s">
        <v>356</v>
      </c>
      <c r="H21" s="8">
        <v>46281</v>
      </c>
      <c r="I21" s="7">
        <v>7700</v>
      </c>
      <c r="J21" s="7">
        <v>7392</v>
      </c>
      <c r="K21" s="7">
        <v>308</v>
      </c>
      <c r="L21" s="45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361</v>
      </c>
      <c r="G22" s="9" t="s">
        <v>338</v>
      </c>
      <c r="H22" s="8">
        <v>46279</v>
      </c>
      <c r="I22" s="7">
        <v>3300</v>
      </c>
      <c r="J22" s="7">
        <v>3020</v>
      </c>
      <c r="K22" s="7">
        <v>280</v>
      </c>
      <c r="L22" s="45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360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5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285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5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342</v>
      </c>
      <c r="G25" s="9" t="s">
        <v>275</v>
      </c>
      <c r="H25" s="8">
        <v>46281</v>
      </c>
      <c r="I25" s="7">
        <v>7200</v>
      </c>
      <c r="J25" s="7">
        <v>6978</v>
      </c>
      <c r="K25" s="7">
        <v>222</v>
      </c>
      <c r="L25" s="45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342</v>
      </c>
      <c r="G26" s="9" t="s">
        <v>275</v>
      </c>
      <c r="H26" s="8">
        <v>46281</v>
      </c>
      <c r="I26" s="7">
        <v>7200</v>
      </c>
      <c r="J26" s="7">
        <v>6983</v>
      </c>
      <c r="K26" s="7">
        <v>217</v>
      </c>
      <c r="L26" s="45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285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5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359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5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358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5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285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5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285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5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357</v>
      </c>
      <c r="G32" s="9" t="s">
        <v>356</v>
      </c>
      <c r="H32" s="8">
        <v>46281</v>
      </c>
      <c r="I32" s="7">
        <v>7700</v>
      </c>
      <c r="J32" s="7">
        <v>7546</v>
      </c>
      <c r="K32" s="7">
        <v>154</v>
      </c>
      <c r="L32" s="45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285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5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355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5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354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5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5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353</v>
      </c>
      <c r="G37" s="9" t="s">
        <v>352</v>
      </c>
      <c r="H37" s="8">
        <v>46280</v>
      </c>
      <c r="I37" s="7">
        <v>3800</v>
      </c>
      <c r="J37" s="7">
        <v>3708</v>
      </c>
      <c r="K37" s="7">
        <v>92</v>
      </c>
      <c r="L37" s="45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285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5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351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5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350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5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346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5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349</v>
      </c>
      <c r="G42" s="9" t="s">
        <v>348</v>
      </c>
      <c r="H42" s="8">
        <v>46280</v>
      </c>
      <c r="I42" s="9">
        <v>3500</v>
      </c>
      <c r="J42" s="9">
        <v>3476</v>
      </c>
      <c r="K42" s="9">
        <v>24</v>
      </c>
      <c r="L42" s="45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299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5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299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5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347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5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345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5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306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5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303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5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346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5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256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5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307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5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306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5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345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5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306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5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306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5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306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5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306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5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344</v>
      </c>
      <c r="G58" s="9" t="s">
        <v>286</v>
      </c>
      <c r="H58" s="8">
        <v>46282</v>
      </c>
      <c r="I58" s="9">
        <v>2000</v>
      </c>
      <c r="J58" s="9">
        <v>2009</v>
      </c>
      <c r="K58" s="9">
        <v>0</v>
      </c>
      <c r="L58" s="45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343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5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342</v>
      </c>
      <c r="G60" s="9" t="s">
        <v>275</v>
      </c>
      <c r="H60" s="8">
        <v>46281</v>
      </c>
      <c r="I60" s="9">
        <v>7200</v>
      </c>
      <c r="J60" s="9">
        <v>7261</v>
      </c>
      <c r="K60" s="9">
        <v>0</v>
      </c>
      <c r="L60" s="45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342</v>
      </c>
      <c r="G61" s="9" t="s">
        <v>275</v>
      </c>
      <c r="H61" s="8">
        <v>46281</v>
      </c>
      <c r="I61" s="9">
        <v>7200</v>
      </c>
      <c r="J61" s="9">
        <v>7208</v>
      </c>
      <c r="K61" s="9">
        <v>0</v>
      </c>
      <c r="L61" s="45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7" priority="3"/>
  </conditionalFormatting>
  <conditionalFormatting sqref="D7">
    <cfRule type="duplicateValues" dxfId="6" priority="2"/>
  </conditionalFormatting>
  <conditionalFormatting sqref="D8">
    <cfRule type="duplicateValues" dxfId="5" priority="1"/>
  </conditionalFormatting>
  <conditionalFormatting sqref="E2:E41">
    <cfRule type="duplicateValues" dxfId="4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024-5F0D-4E6A-81D7-40C6008A8F2F}">
  <sheetPr>
    <tabColor rgb="FFFF0000"/>
    <pageSetUpPr fitToPage="1"/>
  </sheetPr>
  <dimension ref="A1:N90"/>
  <sheetViews>
    <sheetView topLeftCell="F1" zoomScaleNormal="100" workbookViewId="0">
      <selection activeCell="M2" sqref="M2:M9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2.6640625" style="31" bestFit="1" customWidth="1"/>
    <col min="11" max="11" width="12.66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46286</v>
      </c>
      <c r="C2" s="4"/>
      <c r="E2" s="9">
        <v>32969</v>
      </c>
      <c r="F2" s="32" t="s">
        <v>250</v>
      </c>
      <c r="G2" s="9" t="s">
        <v>176</v>
      </c>
      <c r="H2" s="8">
        <v>46290</v>
      </c>
      <c r="I2" s="7">
        <v>16000</v>
      </c>
      <c r="J2" s="7">
        <v>13295</v>
      </c>
      <c r="K2" s="7">
        <v>2705</v>
      </c>
      <c r="L2" s="6">
        <f t="shared" ref="L2:L33" si="0">K2/I2</f>
        <v>0.1690625</v>
      </c>
      <c r="M2" s="5">
        <f t="shared" ref="M2:M33" si="1">K2/$B$8</f>
        <v>7.33718501641034E-2</v>
      </c>
      <c r="N2" s="9"/>
    </row>
    <row r="3" spans="1:14" x14ac:dyDescent="0.3">
      <c r="A3" s="15" t="s">
        <v>107</v>
      </c>
      <c r="B3" s="8">
        <v>46290</v>
      </c>
      <c r="C3" s="4"/>
      <c r="E3" s="9">
        <v>33108</v>
      </c>
      <c r="F3" s="32" t="s">
        <v>397</v>
      </c>
      <c r="G3" s="9" t="s">
        <v>12</v>
      </c>
      <c r="H3" s="8">
        <v>46288</v>
      </c>
      <c r="I3" s="7">
        <v>20000</v>
      </c>
      <c r="J3" s="7">
        <v>17750</v>
      </c>
      <c r="K3" s="7">
        <v>2250</v>
      </c>
      <c r="L3" s="6">
        <f t="shared" si="0"/>
        <v>0.1125</v>
      </c>
      <c r="M3" s="5">
        <f t="shared" si="1"/>
        <v>6.1030189600455691E-2</v>
      </c>
      <c r="N3" s="9"/>
    </row>
    <row r="4" spans="1:14" x14ac:dyDescent="0.3">
      <c r="E4" s="9">
        <v>32965</v>
      </c>
      <c r="F4" s="32" t="s">
        <v>250</v>
      </c>
      <c r="G4" s="9" t="s">
        <v>176</v>
      </c>
      <c r="H4" s="8">
        <v>46288</v>
      </c>
      <c r="I4" s="7">
        <v>16000</v>
      </c>
      <c r="J4" s="7">
        <v>14213</v>
      </c>
      <c r="K4" s="7">
        <v>1787</v>
      </c>
      <c r="L4" s="6">
        <f t="shared" si="0"/>
        <v>0.1116875</v>
      </c>
      <c r="M4" s="5">
        <f t="shared" si="1"/>
        <v>4.8471532807117475E-2</v>
      </c>
      <c r="N4" s="9"/>
    </row>
    <row r="5" spans="1:14" x14ac:dyDescent="0.3">
      <c r="A5" s="15" t="s">
        <v>105</v>
      </c>
      <c r="B5" s="9">
        <f>SUBTOTAL(3,E2:E1048576)</f>
        <v>89</v>
      </c>
      <c r="E5" s="9">
        <v>32786</v>
      </c>
      <c r="F5" s="32" t="s">
        <v>293</v>
      </c>
      <c r="G5" s="9" t="s">
        <v>12</v>
      </c>
      <c r="H5" s="8">
        <v>46287</v>
      </c>
      <c r="I5" s="7">
        <v>20000</v>
      </c>
      <c r="J5" s="7">
        <v>18450</v>
      </c>
      <c r="K5" s="7">
        <v>1550</v>
      </c>
      <c r="L5" s="6">
        <f t="shared" si="0"/>
        <v>7.7499999999999999E-2</v>
      </c>
      <c r="M5" s="5">
        <f t="shared" si="1"/>
        <v>4.2043019502536146E-2</v>
      </c>
      <c r="N5" s="9"/>
    </row>
    <row r="6" spans="1:14" x14ac:dyDescent="0.3">
      <c r="A6" s="15" t="s">
        <v>103</v>
      </c>
      <c r="B6" s="20">
        <f>SUBTOTAL(9,I:I)</f>
        <v>867455</v>
      </c>
      <c r="C6" s="28"/>
      <c r="E6" s="9">
        <v>33281</v>
      </c>
      <c r="F6" s="32" t="s">
        <v>393</v>
      </c>
      <c r="G6" s="9" t="s">
        <v>12</v>
      </c>
      <c r="H6" s="8">
        <v>46288</v>
      </c>
      <c r="I6" s="7">
        <v>6300</v>
      </c>
      <c r="J6" s="7">
        <v>4822</v>
      </c>
      <c r="K6" s="7">
        <v>1478</v>
      </c>
      <c r="L6" s="6">
        <f t="shared" si="0"/>
        <v>0.23460317460317459</v>
      </c>
      <c r="M6" s="5">
        <f t="shared" si="1"/>
        <v>4.0090053435321564E-2</v>
      </c>
      <c r="N6" s="9"/>
    </row>
    <row r="7" spans="1:14" x14ac:dyDescent="0.3">
      <c r="A7" s="15" t="s">
        <v>101</v>
      </c>
      <c r="B7" s="20">
        <f>SUBTOTAL(9,J:J)</f>
        <v>831599</v>
      </c>
      <c r="C7" s="28"/>
      <c r="E7" s="9">
        <v>32776</v>
      </c>
      <c r="F7" s="32" t="s">
        <v>371</v>
      </c>
      <c r="G7" s="9" t="s">
        <v>12</v>
      </c>
      <c r="H7" s="8">
        <v>46290</v>
      </c>
      <c r="I7" s="7">
        <v>16000</v>
      </c>
      <c r="J7" s="7">
        <v>14550</v>
      </c>
      <c r="K7" s="7">
        <v>1450</v>
      </c>
      <c r="L7" s="6">
        <f t="shared" si="0"/>
        <v>9.0624999999999997E-2</v>
      </c>
      <c r="M7" s="5">
        <f t="shared" si="1"/>
        <v>3.933056663140478E-2</v>
      </c>
      <c r="N7" s="9"/>
    </row>
    <row r="8" spans="1:14" x14ac:dyDescent="0.3">
      <c r="A8" s="15" t="s">
        <v>99</v>
      </c>
      <c r="B8" s="20">
        <f>SUBTOTAL(9,K:K)</f>
        <v>36867</v>
      </c>
      <c r="C8" s="28"/>
      <c r="E8" s="9">
        <v>33283</v>
      </c>
      <c r="F8" s="32" t="s">
        <v>359</v>
      </c>
      <c r="G8" s="9" t="s">
        <v>12</v>
      </c>
      <c r="H8" s="8">
        <v>46288</v>
      </c>
      <c r="I8" s="7">
        <v>8400</v>
      </c>
      <c r="J8" s="7">
        <v>7105</v>
      </c>
      <c r="K8" s="7">
        <v>1295</v>
      </c>
      <c r="L8" s="6">
        <f t="shared" si="0"/>
        <v>0.15416666666666667</v>
      </c>
      <c r="M8" s="5">
        <f t="shared" si="1"/>
        <v>3.5126264681151168E-2</v>
      </c>
      <c r="N8" s="9"/>
    </row>
    <row r="9" spans="1:14" x14ac:dyDescent="0.3">
      <c r="A9" s="15" t="s">
        <v>98</v>
      </c>
      <c r="B9" s="18">
        <f>B8/B6</f>
        <v>4.2500187329602111E-2</v>
      </c>
      <c r="C9" s="52"/>
      <c r="E9" s="9">
        <v>33206</v>
      </c>
      <c r="F9" s="32" t="s">
        <v>400</v>
      </c>
      <c r="G9" s="9" t="s">
        <v>206</v>
      </c>
      <c r="H9" s="8">
        <v>46286</v>
      </c>
      <c r="I9" s="7">
        <v>6000</v>
      </c>
      <c r="J9" s="7">
        <v>4760</v>
      </c>
      <c r="K9" s="7">
        <v>1240</v>
      </c>
      <c r="L9" s="6">
        <f t="shared" si="0"/>
        <v>0.20666666666666667</v>
      </c>
      <c r="M9" s="5">
        <f t="shared" si="1"/>
        <v>3.3634415602028914E-2</v>
      </c>
      <c r="N9" s="9"/>
    </row>
    <row r="10" spans="1:14" x14ac:dyDescent="0.3">
      <c r="A10" s="15" t="s">
        <v>96</v>
      </c>
      <c r="B10" s="9">
        <f>COUNTIF(L:L,"&gt;=5%")</f>
        <v>27</v>
      </c>
      <c r="E10" s="9">
        <v>33109</v>
      </c>
      <c r="F10" s="32" t="s">
        <v>397</v>
      </c>
      <c r="G10" s="9" t="s">
        <v>12</v>
      </c>
      <c r="H10" s="8">
        <v>46288</v>
      </c>
      <c r="I10" s="7">
        <v>20000</v>
      </c>
      <c r="J10" s="7">
        <v>18925</v>
      </c>
      <c r="K10" s="7">
        <v>1075</v>
      </c>
      <c r="L10" s="6">
        <f t="shared" si="0"/>
        <v>5.3749999999999999E-2</v>
      </c>
      <c r="M10" s="5">
        <f t="shared" si="1"/>
        <v>2.9158868364662163E-2</v>
      </c>
      <c r="N10" s="9"/>
    </row>
    <row r="11" spans="1:14" x14ac:dyDescent="0.3">
      <c r="A11" s="15" t="s">
        <v>95</v>
      </c>
      <c r="B11" s="48">
        <f>B10/B5</f>
        <v>0.30337078651685395</v>
      </c>
      <c r="C11" s="51"/>
      <c r="E11" s="9">
        <v>33284</v>
      </c>
      <c r="F11" s="32" t="s">
        <v>384</v>
      </c>
      <c r="G11" s="9" t="s">
        <v>12</v>
      </c>
      <c r="H11" s="8">
        <v>46288</v>
      </c>
      <c r="I11" s="7">
        <v>8400</v>
      </c>
      <c r="J11" s="7">
        <v>7394</v>
      </c>
      <c r="K11" s="7">
        <v>1006</v>
      </c>
      <c r="L11" s="6">
        <f t="shared" si="0"/>
        <v>0.11976190476190476</v>
      </c>
      <c r="M11" s="5">
        <f t="shared" si="1"/>
        <v>2.7287275883581524E-2</v>
      </c>
      <c r="N11" s="9"/>
    </row>
    <row r="12" spans="1:14" x14ac:dyDescent="0.3">
      <c r="E12" s="9">
        <v>32968</v>
      </c>
      <c r="F12" s="32" t="s">
        <v>250</v>
      </c>
      <c r="G12" s="9" t="s">
        <v>176</v>
      </c>
      <c r="H12" s="8">
        <v>46290</v>
      </c>
      <c r="I12" s="7">
        <v>16000</v>
      </c>
      <c r="J12" s="7">
        <v>15000</v>
      </c>
      <c r="K12" s="7">
        <v>1000</v>
      </c>
      <c r="L12" s="6">
        <f t="shared" si="0"/>
        <v>6.25E-2</v>
      </c>
      <c r="M12" s="5">
        <f t="shared" si="1"/>
        <v>2.7124528711313642E-2</v>
      </c>
      <c r="N12" s="9"/>
    </row>
    <row r="13" spans="1:14" x14ac:dyDescent="0.3">
      <c r="E13" s="9">
        <v>33113</v>
      </c>
      <c r="F13" s="32" t="s">
        <v>397</v>
      </c>
      <c r="G13" s="9" t="s">
        <v>12</v>
      </c>
      <c r="H13" s="8">
        <v>46290</v>
      </c>
      <c r="I13" s="7">
        <v>20000</v>
      </c>
      <c r="J13" s="7">
        <v>19100</v>
      </c>
      <c r="K13" s="7">
        <v>900</v>
      </c>
      <c r="L13" s="6">
        <f t="shared" si="0"/>
        <v>4.4999999999999998E-2</v>
      </c>
      <c r="M13" s="5">
        <f t="shared" si="1"/>
        <v>2.4412075840182276E-2</v>
      </c>
      <c r="N13" s="9"/>
    </row>
    <row r="14" spans="1:14" x14ac:dyDescent="0.3">
      <c r="A14" s="26" t="s">
        <v>398</v>
      </c>
      <c r="B14" s="27">
        <f>B8-'[1]21-09'!B8</f>
        <v>15952</v>
      </c>
      <c r="C14" s="50"/>
      <c r="E14" s="9">
        <v>33279</v>
      </c>
      <c r="F14" s="32" t="s">
        <v>399</v>
      </c>
      <c r="G14" s="9" t="s">
        <v>12</v>
      </c>
      <c r="H14" s="8">
        <v>46287</v>
      </c>
      <c r="I14" s="7">
        <v>10500</v>
      </c>
      <c r="J14" s="7">
        <v>9614</v>
      </c>
      <c r="K14" s="7">
        <v>886</v>
      </c>
      <c r="L14" s="6">
        <f t="shared" si="0"/>
        <v>8.4380952380952376E-2</v>
      </c>
      <c r="M14" s="5">
        <f t="shared" si="1"/>
        <v>2.4032332438223884E-2</v>
      </c>
      <c r="N14" s="9"/>
    </row>
    <row r="15" spans="1:14" x14ac:dyDescent="0.3">
      <c r="A15" s="26" t="s">
        <v>398</v>
      </c>
      <c r="B15" s="25">
        <f>B9-'[1]21-09'!B9</f>
        <v>-9.8999730151390838E-3</v>
      </c>
      <c r="C15" s="49"/>
      <c r="E15" s="9">
        <v>32778</v>
      </c>
      <c r="F15" s="32" t="s">
        <v>371</v>
      </c>
      <c r="G15" s="9" t="s">
        <v>12</v>
      </c>
      <c r="H15" s="8">
        <v>46290</v>
      </c>
      <c r="I15" s="7">
        <v>16000</v>
      </c>
      <c r="J15" s="7">
        <v>15125</v>
      </c>
      <c r="K15" s="7">
        <v>875</v>
      </c>
      <c r="L15" s="6">
        <f t="shared" si="0"/>
        <v>5.46875E-2</v>
      </c>
      <c r="M15" s="5">
        <f t="shared" si="1"/>
        <v>2.3733962622399435E-2</v>
      </c>
      <c r="N15" s="9"/>
    </row>
    <row r="16" spans="1:14" x14ac:dyDescent="0.3">
      <c r="E16" s="9">
        <v>32967</v>
      </c>
      <c r="F16" s="32" t="s">
        <v>250</v>
      </c>
      <c r="G16" s="9" t="s">
        <v>176</v>
      </c>
      <c r="H16" s="8">
        <v>46290</v>
      </c>
      <c r="I16" s="7">
        <v>16000</v>
      </c>
      <c r="J16" s="7">
        <v>15159</v>
      </c>
      <c r="K16" s="7">
        <v>841</v>
      </c>
      <c r="L16" s="6">
        <f t="shared" si="0"/>
        <v>5.2562499999999998E-2</v>
      </c>
      <c r="M16" s="5">
        <f t="shared" si="1"/>
        <v>2.2811728646214773E-2</v>
      </c>
      <c r="N16" s="9"/>
    </row>
    <row r="17" spans="5:14" x14ac:dyDescent="0.3">
      <c r="E17" s="9">
        <v>33110</v>
      </c>
      <c r="F17" s="32" t="s">
        <v>397</v>
      </c>
      <c r="G17" s="9" t="s">
        <v>12</v>
      </c>
      <c r="H17" s="8">
        <v>46289</v>
      </c>
      <c r="I17" s="20">
        <v>20000</v>
      </c>
      <c r="J17" s="20">
        <v>19200</v>
      </c>
      <c r="K17" s="20">
        <v>800</v>
      </c>
      <c r="L17" s="6">
        <f t="shared" si="0"/>
        <v>0.04</v>
      </c>
      <c r="M17" s="5">
        <f t="shared" si="1"/>
        <v>2.1699622969050914E-2</v>
      </c>
      <c r="N17" s="9"/>
    </row>
    <row r="18" spans="5:14" x14ac:dyDescent="0.3">
      <c r="E18" s="9">
        <v>33348</v>
      </c>
      <c r="F18" s="32" t="s">
        <v>267</v>
      </c>
      <c r="G18" s="9" t="s">
        <v>2</v>
      </c>
      <c r="H18" s="8">
        <v>46290</v>
      </c>
      <c r="I18" s="20">
        <v>8000</v>
      </c>
      <c r="J18" s="20">
        <v>7242</v>
      </c>
      <c r="K18" s="20">
        <v>758</v>
      </c>
      <c r="L18" s="6">
        <f t="shared" si="0"/>
        <v>9.4750000000000001E-2</v>
      </c>
      <c r="M18" s="5">
        <f t="shared" si="1"/>
        <v>2.0560392763175738E-2</v>
      </c>
      <c r="N18" s="9"/>
    </row>
    <row r="19" spans="5:14" x14ac:dyDescent="0.3">
      <c r="E19" s="9">
        <v>33242</v>
      </c>
      <c r="F19" s="32" t="s">
        <v>321</v>
      </c>
      <c r="G19" s="9" t="s">
        <v>30</v>
      </c>
      <c r="H19" s="8">
        <v>46289</v>
      </c>
      <c r="I19" s="7">
        <v>8630</v>
      </c>
      <c r="J19" s="7">
        <v>7925</v>
      </c>
      <c r="K19" s="7">
        <v>705</v>
      </c>
      <c r="L19" s="6">
        <f t="shared" si="0"/>
        <v>8.1691772885283898E-2</v>
      </c>
      <c r="M19" s="5">
        <f t="shared" si="1"/>
        <v>1.9122792741476116E-2</v>
      </c>
      <c r="N19" s="9"/>
    </row>
    <row r="20" spans="5:14" x14ac:dyDescent="0.3">
      <c r="E20" s="9">
        <v>33261</v>
      </c>
      <c r="F20" s="32" t="s">
        <v>47</v>
      </c>
      <c r="G20" s="9" t="s">
        <v>30</v>
      </c>
      <c r="H20" s="8">
        <v>46290</v>
      </c>
      <c r="I20" s="20">
        <v>7200</v>
      </c>
      <c r="J20" s="20">
        <v>6510</v>
      </c>
      <c r="K20" s="20">
        <v>690</v>
      </c>
      <c r="L20" s="6">
        <f t="shared" si="0"/>
        <v>9.583333333333334E-2</v>
      </c>
      <c r="M20" s="5">
        <f t="shared" si="1"/>
        <v>1.8715924810806413E-2</v>
      </c>
      <c r="N20" s="9"/>
    </row>
    <row r="21" spans="5:14" x14ac:dyDescent="0.3">
      <c r="E21" s="9">
        <v>33339</v>
      </c>
      <c r="F21" s="32" t="s">
        <v>396</v>
      </c>
      <c r="G21" s="9" t="s">
        <v>12</v>
      </c>
      <c r="H21" s="8">
        <v>46290</v>
      </c>
      <c r="I21" s="7">
        <v>10500</v>
      </c>
      <c r="J21" s="7">
        <v>9864</v>
      </c>
      <c r="K21" s="7">
        <v>636</v>
      </c>
      <c r="L21" s="6">
        <f t="shared" si="0"/>
        <v>6.0571428571428575E-2</v>
      </c>
      <c r="M21" s="5">
        <f t="shared" si="1"/>
        <v>1.7251200260395477E-2</v>
      </c>
      <c r="N21" s="9"/>
    </row>
    <row r="22" spans="5:14" x14ac:dyDescent="0.3">
      <c r="E22" s="9">
        <v>33287</v>
      </c>
      <c r="F22" s="32" t="s">
        <v>386</v>
      </c>
      <c r="G22" s="9" t="s">
        <v>12</v>
      </c>
      <c r="H22" s="8">
        <v>46287</v>
      </c>
      <c r="I22" s="7">
        <v>8400</v>
      </c>
      <c r="J22" s="7">
        <v>7812</v>
      </c>
      <c r="K22" s="7">
        <v>588</v>
      </c>
      <c r="L22" s="6">
        <f t="shared" si="0"/>
        <v>7.0000000000000007E-2</v>
      </c>
      <c r="M22" s="5">
        <f t="shared" si="1"/>
        <v>1.5949222882252419E-2</v>
      </c>
      <c r="N22" s="9"/>
    </row>
    <row r="23" spans="5:14" x14ac:dyDescent="0.3">
      <c r="E23" s="9">
        <v>33322</v>
      </c>
      <c r="F23" s="32" t="s">
        <v>395</v>
      </c>
      <c r="G23" s="9" t="s">
        <v>12</v>
      </c>
      <c r="H23" s="8">
        <v>46288</v>
      </c>
      <c r="I23" s="7">
        <v>10500</v>
      </c>
      <c r="J23" s="7">
        <v>9919</v>
      </c>
      <c r="K23" s="7">
        <v>581</v>
      </c>
      <c r="L23" s="6">
        <f t="shared" si="0"/>
        <v>5.5333333333333332E-2</v>
      </c>
      <c r="M23" s="5">
        <f t="shared" si="1"/>
        <v>1.5759351181273227E-2</v>
      </c>
      <c r="N23" s="9"/>
    </row>
    <row r="24" spans="5:14" x14ac:dyDescent="0.3">
      <c r="E24" s="9">
        <v>33161</v>
      </c>
      <c r="F24" s="32" t="s">
        <v>394</v>
      </c>
      <c r="G24" s="9" t="s">
        <v>288</v>
      </c>
      <c r="H24" s="8">
        <v>46286</v>
      </c>
      <c r="I24" s="7">
        <v>33150</v>
      </c>
      <c r="J24" s="7">
        <v>32575</v>
      </c>
      <c r="K24" s="7">
        <v>575</v>
      </c>
      <c r="L24" s="6">
        <f t="shared" si="0"/>
        <v>1.7345399698340876E-2</v>
      </c>
      <c r="M24" s="5">
        <f t="shared" si="1"/>
        <v>1.5596604009005343E-2</v>
      </c>
      <c r="N24" s="9"/>
    </row>
    <row r="25" spans="5:14" x14ac:dyDescent="0.3">
      <c r="E25" s="9">
        <v>33301</v>
      </c>
      <c r="F25" s="32" t="s">
        <v>385</v>
      </c>
      <c r="G25" s="9" t="s">
        <v>12</v>
      </c>
      <c r="H25" s="8">
        <v>46290</v>
      </c>
      <c r="I25" s="7">
        <v>28646</v>
      </c>
      <c r="J25" s="7">
        <v>28100</v>
      </c>
      <c r="K25" s="7">
        <v>546</v>
      </c>
      <c r="L25" s="6">
        <f t="shared" si="0"/>
        <v>1.9060252740347693E-2</v>
      </c>
      <c r="M25" s="5">
        <f t="shared" si="1"/>
        <v>1.4809992676377249E-2</v>
      </c>
      <c r="N25" s="9"/>
    </row>
    <row r="26" spans="5:14" x14ac:dyDescent="0.3">
      <c r="E26" s="9">
        <v>33147</v>
      </c>
      <c r="F26" s="32" t="s">
        <v>385</v>
      </c>
      <c r="G26" s="9" t="s">
        <v>12</v>
      </c>
      <c r="H26" s="8">
        <v>46288</v>
      </c>
      <c r="I26" s="7">
        <v>28794</v>
      </c>
      <c r="J26" s="7">
        <v>28250</v>
      </c>
      <c r="K26" s="7">
        <v>544</v>
      </c>
      <c r="L26" s="6">
        <f t="shared" si="0"/>
        <v>1.8892824894075153E-2</v>
      </c>
      <c r="M26" s="5">
        <f t="shared" si="1"/>
        <v>1.475574361895462E-2</v>
      </c>
      <c r="N26" s="9"/>
    </row>
    <row r="27" spans="5:14" x14ac:dyDescent="0.3">
      <c r="E27" s="9">
        <v>33024</v>
      </c>
      <c r="F27" s="32" t="s">
        <v>360</v>
      </c>
      <c r="G27" s="9" t="s">
        <v>79</v>
      </c>
      <c r="H27" s="8">
        <v>46286</v>
      </c>
      <c r="I27" s="7">
        <v>8750</v>
      </c>
      <c r="J27" s="7">
        <v>8240</v>
      </c>
      <c r="K27" s="7">
        <v>510</v>
      </c>
      <c r="L27" s="6">
        <f t="shared" si="0"/>
        <v>5.8285714285714288E-2</v>
      </c>
      <c r="M27" s="5">
        <f t="shared" si="1"/>
        <v>1.3833509642769956E-2</v>
      </c>
      <c r="N27" s="9"/>
    </row>
    <row r="28" spans="5:14" x14ac:dyDescent="0.3">
      <c r="E28" s="9">
        <v>33263</v>
      </c>
      <c r="F28" s="32" t="s">
        <v>40</v>
      </c>
      <c r="G28" s="9" t="s">
        <v>30</v>
      </c>
      <c r="H28" s="8">
        <v>46290</v>
      </c>
      <c r="I28" s="7">
        <v>7200</v>
      </c>
      <c r="J28" s="7">
        <v>6694</v>
      </c>
      <c r="K28" s="7">
        <v>506</v>
      </c>
      <c r="L28" s="6">
        <f t="shared" si="0"/>
        <v>7.0277777777777772E-2</v>
      </c>
      <c r="M28" s="5">
        <f t="shared" si="1"/>
        <v>1.3725011527924703E-2</v>
      </c>
      <c r="N28" s="9"/>
    </row>
    <row r="29" spans="5:14" x14ac:dyDescent="0.3">
      <c r="E29" s="9">
        <v>33280</v>
      </c>
      <c r="F29" s="32" t="s">
        <v>393</v>
      </c>
      <c r="G29" s="9" t="s">
        <v>12</v>
      </c>
      <c r="H29" s="8">
        <v>46288</v>
      </c>
      <c r="I29" s="7">
        <v>8400</v>
      </c>
      <c r="J29" s="7">
        <v>7896</v>
      </c>
      <c r="K29" s="7">
        <v>504</v>
      </c>
      <c r="L29" s="6">
        <f t="shared" si="0"/>
        <v>0.06</v>
      </c>
      <c r="M29" s="5">
        <f t="shared" si="1"/>
        <v>1.3670762470502074E-2</v>
      </c>
      <c r="N29" s="9"/>
    </row>
    <row r="30" spans="5:14" x14ac:dyDescent="0.3">
      <c r="E30" s="9">
        <v>33299</v>
      </c>
      <c r="F30" s="32" t="s">
        <v>392</v>
      </c>
      <c r="G30" s="9" t="s">
        <v>12</v>
      </c>
      <c r="H30" s="8">
        <v>46290</v>
      </c>
      <c r="I30" s="7">
        <v>4200</v>
      </c>
      <c r="J30" s="7">
        <v>3777</v>
      </c>
      <c r="K30" s="7">
        <v>423</v>
      </c>
      <c r="L30" s="6">
        <f t="shared" si="0"/>
        <v>0.10071428571428571</v>
      </c>
      <c r="M30" s="5">
        <f t="shared" si="1"/>
        <v>1.147367564488567E-2</v>
      </c>
      <c r="N30" s="9"/>
    </row>
    <row r="31" spans="5:14" x14ac:dyDescent="0.3">
      <c r="E31" s="9">
        <v>33282</v>
      </c>
      <c r="F31" s="32" t="s">
        <v>359</v>
      </c>
      <c r="G31" s="9" t="s">
        <v>12</v>
      </c>
      <c r="H31" s="8">
        <v>46288</v>
      </c>
      <c r="I31" s="20">
        <v>8400</v>
      </c>
      <c r="J31" s="20">
        <v>8009</v>
      </c>
      <c r="K31" s="20">
        <v>391</v>
      </c>
      <c r="L31" s="6">
        <f t="shared" si="0"/>
        <v>4.6547619047619046E-2</v>
      </c>
      <c r="M31" s="5">
        <f t="shared" si="1"/>
        <v>1.0605690726123634E-2</v>
      </c>
      <c r="N31" s="9"/>
    </row>
    <row r="32" spans="5:14" x14ac:dyDescent="0.3">
      <c r="E32" s="9">
        <v>33237</v>
      </c>
      <c r="F32" s="32" t="s">
        <v>391</v>
      </c>
      <c r="G32" s="9" t="s">
        <v>2</v>
      </c>
      <c r="H32" s="8">
        <v>46287</v>
      </c>
      <c r="I32" s="7">
        <v>3800</v>
      </c>
      <c r="J32" s="7">
        <v>3413</v>
      </c>
      <c r="K32" s="7">
        <v>387</v>
      </c>
      <c r="L32" s="6">
        <f t="shared" si="0"/>
        <v>0.1018421052631579</v>
      </c>
      <c r="M32" s="5">
        <f t="shared" si="1"/>
        <v>1.0497192611278379E-2</v>
      </c>
      <c r="N32" s="9"/>
    </row>
    <row r="33" spans="5:14" x14ac:dyDescent="0.3">
      <c r="E33" s="9">
        <v>33275</v>
      </c>
      <c r="F33" s="32" t="s">
        <v>62</v>
      </c>
      <c r="G33" s="9" t="s">
        <v>61</v>
      </c>
      <c r="H33" s="8">
        <v>46290</v>
      </c>
      <c r="I33" s="20">
        <v>8600</v>
      </c>
      <c r="J33" s="20">
        <v>8222</v>
      </c>
      <c r="K33" s="20">
        <v>378</v>
      </c>
      <c r="L33" s="6">
        <f t="shared" si="0"/>
        <v>4.3953488372093022E-2</v>
      </c>
      <c r="M33" s="5">
        <f t="shared" si="1"/>
        <v>1.0253071852876557E-2</v>
      </c>
      <c r="N33" s="9"/>
    </row>
    <row r="34" spans="5:14" x14ac:dyDescent="0.3">
      <c r="E34" s="9">
        <v>33297</v>
      </c>
      <c r="F34" s="32" t="s">
        <v>390</v>
      </c>
      <c r="G34" s="9" t="s">
        <v>389</v>
      </c>
      <c r="H34" s="8">
        <v>46288</v>
      </c>
      <c r="I34" s="20">
        <v>6300</v>
      </c>
      <c r="J34" s="20">
        <v>5929</v>
      </c>
      <c r="K34" s="20">
        <v>371</v>
      </c>
      <c r="L34" s="6">
        <f t="shared" ref="L34:L65" si="2">K34/I34</f>
        <v>5.8888888888888886E-2</v>
      </c>
      <c r="M34" s="5">
        <f t="shared" ref="M34:M65" si="3">K34/$B$8</f>
        <v>1.0063200151897361E-2</v>
      </c>
      <c r="N34" s="9"/>
    </row>
    <row r="35" spans="5:14" x14ac:dyDescent="0.3">
      <c r="E35" s="9">
        <v>33104</v>
      </c>
      <c r="F35" s="32" t="s">
        <v>388</v>
      </c>
      <c r="G35" s="9" t="s">
        <v>7</v>
      </c>
      <c r="H35" s="8">
        <v>46289</v>
      </c>
      <c r="I35" s="7">
        <v>12600</v>
      </c>
      <c r="J35" s="7">
        <v>12250</v>
      </c>
      <c r="K35" s="7">
        <v>350</v>
      </c>
      <c r="L35" s="6">
        <f t="shared" si="2"/>
        <v>2.7777777777777776E-2</v>
      </c>
      <c r="M35" s="5">
        <f t="shared" si="3"/>
        <v>9.4935850489597743E-3</v>
      </c>
      <c r="N35" s="9"/>
    </row>
    <row r="36" spans="5:14" x14ac:dyDescent="0.3">
      <c r="E36" s="9">
        <v>33274</v>
      </c>
      <c r="F36" s="32" t="s">
        <v>62</v>
      </c>
      <c r="G36" s="9" t="s">
        <v>61</v>
      </c>
      <c r="H36" s="8">
        <v>46290</v>
      </c>
      <c r="I36" s="7">
        <v>8630</v>
      </c>
      <c r="J36" s="7">
        <v>8282</v>
      </c>
      <c r="K36" s="7">
        <v>348</v>
      </c>
      <c r="L36" s="6">
        <f t="shared" si="2"/>
        <v>4.0324449594438004E-2</v>
      </c>
      <c r="M36" s="5">
        <f t="shared" si="3"/>
        <v>9.4393359915371476E-3</v>
      </c>
      <c r="N36" s="9"/>
    </row>
    <row r="37" spans="5:14" x14ac:dyDescent="0.3">
      <c r="E37" s="9">
        <v>33276</v>
      </c>
      <c r="F37" s="32" t="s">
        <v>62</v>
      </c>
      <c r="G37" s="9" t="s">
        <v>61</v>
      </c>
      <c r="H37" s="8">
        <v>46290</v>
      </c>
      <c r="I37" s="7">
        <v>8650</v>
      </c>
      <c r="J37" s="7">
        <v>8311</v>
      </c>
      <c r="K37" s="7">
        <v>339</v>
      </c>
      <c r="L37" s="6">
        <f t="shared" si="2"/>
        <v>3.9190751445086706E-2</v>
      </c>
      <c r="M37" s="5">
        <f t="shared" si="3"/>
        <v>9.1952152331353249E-3</v>
      </c>
      <c r="N37" s="9"/>
    </row>
    <row r="38" spans="5:14" x14ac:dyDescent="0.3">
      <c r="E38" s="9">
        <v>33277</v>
      </c>
      <c r="F38" s="32" t="s">
        <v>383</v>
      </c>
      <c r="G38" s="9" t="s">
        <v>12</v>
      </c>
      <c r="H38" s="8">
        <v>46287</v>
      </c>
      <c r="I38" s="7">
        <v>8400</v>
      </c>
      <c r="J38" s="7">
        <v>8089</v>
      </c>
      <c r="K38" s="7">
        <v>311</v>
      </c>
      <c r="L38" s="6">
        <f t="shared" si="2"/>
        <v>3.7023809523809521E-2</v>
      </c>
      <c r="M38" s="5">
        <f t="shared" si="3"/>
        <v>8.4357284292185426E-3</v>
      </c>
      <c r="N38" s="9"/>
    </row>
    <row r="39" spans="5:14" x14ac:dyDescent="0.3">
      <c r="E39" s="9">
        <v>33250</v>
      </c>
      <c r="F39" s="32" t="s">
        <v>349</v>
      </c>
      <c r="G39" s="9" t="s">
        <v>286</v>
      </c>
      <c r="H39" s="8">
        <v>46288</v>
      </c>
      <c r="I39" s="20">
        <v>3500</v>
      </c>
      <c r="J39" s="20">
        <v>3193</v>
      </c>
      <c r="K39" s="20">
        <v>307</v>
      </c>
      <c r="L39" s="6">
        <f t="shared" si="2"/>
        <v>8.7714285714285717E-2</v>
      </c>
      <c r="M39" s="5">
        <f t="shared" si="3"/>
        <v>8.3272303143732875E-3</v>
      </c>
      <c r="N39" s="9"/>
    </row>
    <row r="40" spans="5:14" x14ac:dyDescent="0.3">
      <c r="E40" s="9">
        <v>33288</v>
      </c>
      <c r="F40" s="32" t="s">
        <v>386</v>
      </c>
      <c r="G40" s="9" t="s">
        <v>12</v>
      </c>
      <c r="H40" s="8">
        <v>46288</v>
      </c>
      <c r="I40" s="7">
        <v>8400</v>
      </c>
      <c r="J40" s="7">
        <v>8093</v>
      </c>
      <c r="K40" s="7">
        <v>307</v>
      </c>
      <c r="L40" s="6">
        <f t="shared" si="2"/>
        <v>3.6547619047619051E-2</v>
      </c>
      <c r="M40" s="5">
        <f t="shared" si="3"/>
        <v>8.3272303143732875E-3</v>
      </c>
      <c r="N40" s="9"/>
    </row>
    <row r="41" spans="5:14" x14ac:dyDescent="0.3">
      <c r="E41" s="9">
        <v>33103</v>
      </c>
      <c r="F41" s="32" t="s">
        <v>387</v>
      </c>
      <c r="G41" s="9" t="s">
        <v>7</v>
      </c>
      <c r="H41" s="8">
        <v>46289</v>
      </c>
      <c r="I41" s="7">
        <v>12600</v>
      </c>
      <c r="J41" s="7">
        <v>12300</v>
      </c>
      <c r="K41" s="7">
        <v>300</v>
      </c>
      <c r="L41" s="6">
        <f t="shared" si="2"/>
        <v>2.3809523809523808E-2</v>
      </c>
      <c r="M41" s="5">
        <f t="shared" si="3"/>
        <v>8.1373586133940915E-3</v>
      </c>
      <c r="N41" s="9"/>
    </row>
    <row r="42" spans="5:14" x14ac:dyDescent="0.3">
      <c r="E42" s="9">
        <v>33268</v>
      </c>
      <c r="F42" s="9" t="s">
        <v>380</v>
      </c>
      <c r="G42" s="9" t="s">
        <v>30</v>
      </c>
      <c r="H42" s="8">
        <v>46288</v>
      </c>
      <c r="I42" s="20">
        <v>7600</v>
      </c>
      <c r="J42" s="20">
        <v>7310</v>
      </c>
      <c r="K42" s="20">
        <v>290</v>
      </c>
      <c r="L42" s="6">
        <f t="shared" si="2"/>
        <v>3.8157894736842106E-2</v>
      </c>
      <c r="M42" s="5">
        <f t="shared" si="3"/>
        <v>7.8661133262809563E-3</v>
      </c>
      <c r="N42" s="9"/>
    </row>
    <row r="43" spans="5:14" x14ac:dyDescent="0.3">
      <c r="E43" s="9">
        <v>33258</v>
      </c>
      <c r="F43" s="9" t="s">
        <v>47</v>
      </c>
      <c r="G43" s="9" t="s">
        <v>30</v>
      </c>
      <c r="H43" s="8">
        <v>46289</v>
      </c>
      <c r="I43" s="7">
        <v>9000</v>
      </c>
      <c r="J43" s="7">
        <v>8712</v>
      </c>
      <c r="K43" s="7">
        <v>288</v>
      </c>
      <c r="L43" s="6">
        <f t="shared" si="2"/>
        <v>3.2000000000000001E-2</v>
      </c>
      <c r="M43" s="5">
        <f t="shared" si="3"/>
        <v>7.8118642688583288E-3</v>
      </c>
      <c r="N43" s="9"/>
    </row>
    <row r="44" spans="5:14" x14ac:dyDescent="0.3">
      <c r="E44" s="9">
        <v>33026</v>
      </c>
      <c r="F44" s="9" t="s">
        <v>360</v>
      </c>
      <c r="G44" s="9" t="s">
        <v>79</v>
      </c>
      <c r="H44" s="8">
        <v>46286</v>
      </c>
      <c r="I44" s="20">
        <v>8750</v>
      </c>
      <c r="J44" s="20">
        <v>8474</v>
      </c>
      <c r="K44" s="20">
        <v>276</v>
      </c>
      <c r="L44" s="6">
        <f t="shared" si="2"/>
        <v>3.1542857142857143E-2</v>
      </c>
      <c r="M44" s="5">
        <f t="shared" si="3"/>
        <v>7.4863699243225652E-3</v>
      </c>
      <c r="N44" s="9"/>
    </row>
    <row r="45" spans="5:14" x14ac:dyDescent="0.3">
      <c r="E45" s="9">
        <v>33286</v>
      </c>
      <c r="F45" s="9" t="s">
        <v>386</v>
      </c>
      <c r="G45" s="9" t="s">
        <v>12</v>
      </c>
      <c r="H45" s="8">
        <v>46287</v>
      </c>
      <c r="I45" s="7">
        <v>8400</v>
      </c>
      <c r="J45" s="7">
        <v>8143</v>
      </c>
      <c r="K45" s="7">
        <v>257</v>
      </c>
      <c r="L45" s="6">
        <f t="shared" si="2"/>
        <v>3.0595238095238095E-2</v>
      </c>
      <c r="M45" s="5">
        <f t="shared" si="3"/>
        <v>6.9710038788076056E-3</v>
      </c>
      <c r="N45" s="9"/>
    </row>
    <row r="46" spans="5:14" x14ac:dyDescent="0.3">
      <c r="E46" s="9">
        <v>33243</v>
      </c>
      <c r="F46" s="9" t="s">
        <v>321</v>
      </c>
      <c r="G46" s="9" t="s">
        <v>30</v>
      </c>
      <c r="H46" s="8">
        <v>46289</v>
      </c>
      <c r="I46" s="7">
        <v>5400</v>
      </c>
      <c r="J46" s="7">
        <v>5146</v>
      </c>
      <c r="K46" s="7">
        <v>254</v>
      </c>
      <c r="L46" s="6">
        <f t="shared" si="2"/>
        <v>4.7037037037037037E-2</v>
      </c>
      <c r="M46" s="5">
        <f t="shared" si="3"/>
        <v>6.8896302926736647E-3</v>
      </c>
      <c r="N46" s="9"/>
    </row>
    <row r="47" spans="5:14" x14ac:dyDescent="0.3">
      <c r="E47" s="9">
        <v>33204</v>
      </c>
      <c r="F47" s="9" t="s">
        <v>385</v>
      </c>
      <c r="G47" s="9" t="s">
        <v>12</v>
      </c>
      <c r="H47" s="8">
        <v>46286</v>
      </c>
      <c r="I47" s="7">
        <v>30553</v>
      </c>
      <c r="J47" s="7">
        <v>30300</v>
      </c>
      <c r="K47" s="7">
        <v>253</v>
      </c>
      <c r="L47" s="6">
        <f t="shared" si="2"/>
        <v>8.2806925670146966E-3</v>
      </c>
      <c r="M47" s="5">
        <f t="shared" si="3"/>
        <v>6.8625057639623514E-3</v>
      </c>
      <c r="N47" s="9"/>
    </row>
    <row r="48" spans="5:14" x14ac:dyDescent="0.3">
      <c r="E48" s="9">
        <v>33273</v>
      </c>
      <c r="F48" s="9" t="s">
        <v>62</v>
      </c>
      <c r="G48" s="9" t="s">
        <v>61</v>
      </c>
      <c r="H48" s="8">
        <v>46289</v>
      </c>
      <c r="I48" s="7">
        <v>10740</v>
      </c>
      <c r="J48" s="7">
        <v>10507</v>
      </c>
      <c r="K48" s="7">
        <v>233</v>
      </c>
      <c r="L48" s="6">
        <f t="shared" si="2"/>
        <v>2.1694599627560523E-2</v>
      </c>
      <c r="M48" s="5">
        <f t="shared" si="3"/>
        <v>6.3200151897360784E-3</v>
      </c>
      <c r="N48" s="9"/>
    </row>
    <row r="49" spans="5:14" x14ac:dyDescent="0.3">
      <c r="E49" s="9">
        <v>33300</v>
      </c>
      <c r="F49" s="9" t="s">
        <v>385</v>
      </c>
      <c r="G49" s="9" t="s">
        <v>12</v>
      </c>
      <c r="H49" s="8">
        <v>46289</v>
      </c>
      <c r="I49" s="7">
        <v>29105</v>
      </c>
      <c r="J49" s="7">
        <v>28875</v>
      </c>
      <c r="K49" s="7">
        <v>230</v>
      </c>
      <c r="L49" s="6">
        <f t="shared" si="2"/>
        <v>7.90242226421577E-3</v>
      </c>
      <c r="M49" s="5">
        <f t="shared" si="3"/>
        <v>6.2386416036021375E-3</v>
      </c>
      <c r="N49" s="9"/>
    </row>
    <row r="50" spans="5:14" x14ac:dyDescent="0.3">
      <c r="E50" s="9">
        <v>33317</v>
      </c>
      <c r="F50" s="9" t="s">
        <v>342</v>
      </c>
      <c r="G50" s="9" t="s">
        <v>377</v>
      </c>
      <c r="H50" s="8">
        <v>46288</v>
      </c>
      <c r="I50" s="7">
        <v>7200</v>
      </c>
      <c r="J50" s="7">
        <v>6999</v>
      </c>
      <c r="K50" s="7">
        <v>201</v>
      </c>
      <c r="L50" s="6">
        <f t="shared" si="2"/>
        <v>2.7916666666666666E-2</v>
      </c>
      <c r="M50" s="5">
        <f t="shared" si="3"/>
        <v>5.4520302709740419E-3</v>
      </c>
      <c r="N50" s="9"/>
    </row>
    <row r="51" spans="5:14" x14ac:dyDescent="0.3">
      <c r="E51" s="9">
        <v>33285</v>
      </c>
      <c r="F51" s="9" t="s">
        <v>384</v>
      </c>
      <c r="G51" s="9" t="s">
        <v>12</v>
      </c>
      <c r="H51" s="8">
        <v>46288</v>
      </c>
      <c r="I51" s="20">
        <v>6300</v>
      </c>
      <c r="J51" s="20">
        <v>6104</v>
      </c>
      <c r="K51" s="20">
        <v>196</v>
      </c>
      <c r="L51" s="6">
        <f t="shared" si="2"/>
        <v>3.111111111111111E-2</v>
      </c>
      <c r="M51" s="5">
        <f t="shared" si="3"/>
        <v>5.3164076274174734E-3</v>
      </c>
      <c r="N51" s="9"/>
    </row>
    <row r="52" spans="5:14" x14ac:dyDescent="0.3">
      <c r="E52" s="9">
        <v>33318</v>
      </c>
      <c r="F52" s="9" t="s">
        <v>342</v>
      </c>
      <c r="G52" s="9" t="s">
        <v>377</v>
      </c>
      <c r="H52" s="8">
        <v>46288</v>
      </c>
      <c r="I52" s="20">
        <v>7200</v>
      </c>
      <c r="J52" s="20">
        <v>7036</v>
      </c>
      <c r="K52" s="20">
        <v>164</v>
      </c>
      <c r="L52" s="6">
        <f t="shared" si="2"/>
        <v>2.2777777777777779E-2</v>
      </c>
      <c r="M52" s="5">
        <f t="shared" si="3"/>
        <v>4.4484227086554369E-3</v>
      </c>
      <c r="N52" s="9"/>
    </row>
    <row r="53" spans="5:14" x14ac:dyDescent="0.3">
      <c r="E53" s="9">
        <v>33264</v>
      </c>
      <c r="F53" s="9" t="s">
        <v>40</v>
      </c>
      <c r="G53" s="9" t="s">
        <v>30</v>
      </c>
      <c r="H53" s="8">
        <v>46290</v>
      </c>
      <c r="I53" s="20">
        <v>7200</v>
      </c>
      <c r="J53" s="20">
        <v>7058</v>
      </c>
      <c r="K53" s="20">
        <v>142</v>
      </c>
      <c r="L53" s="6">
        <f t="shared" si="2"/>
        <v>1.9722222222222221E-2</v>
      </c>
      <c r="M53" s="5">
        <f t="shared" si="3"/>
        <v>3.8516830770065368E-3</v>
      </c>
      <c r="N53" s="9"/>
    </row>
    <row r="54" spans="5:14" x14ac:dyDescent="0.3">
      <c r="E54" s="9">
        <v>33278</v>
      </c>
      <c r="F54" s="9" t="s">
        <v>383</v>
      </c>
      <c r="G54" s="9" t="s">
        <v>12</v>
      </c>
      <c r="H54" s="8">
        <v>46287</v>
      </c>
      <c r="I54" s="20">
        <v>6300</v>
      </c>
      <c r="J54" s="20">
        <v>6170</v>
      </c>
      <c r="K54" s="20">
        <v>130</v>
      </c>
      <c r="L54" s="6">
        <f t="shared" si="2"/>
        <v>2.0634920634920634E-2</v>
      </c>
      <c r="M54" s="5">
        <f t="shared" si="3"/>
        <v>3.5261887324707732E-3</v>
      </c>
      <c r="N54" s="9"/>
    </row>
    <row r="55" spans="5:14" x14ac:dyDescent="0.3">
      <c r="E55" s="9">
        <v>33023</v>
      </c>
      <c r="F55" s="9" t="s">
        <v>360</v>
      </c>
      <c r="G55" s="9" t="s">
        <v>79</v>
      </c>
      <c r="H55" s="8">
        <v>46286</v>
      </c>
      <c r="I55" s="20">
        <v>8750</v>
      </c>
      <c r="J55" s="20">
        <v>8621</v>
      </c>
      <c r="K55" s="20">
        <v>129</v>
      </c>
      <c r="L55" s="6">
        <f t="shared" si="2"/>
        <v>1.4742857142857143E-2</v>
      </c>
      <c r="M55" s="5">
        <f t="shared" si="3"/>
        <v>3.4990642037594595E-3</v>
      </c>
      <c r="N55" s="9"/>
    </row>
    <row r="56" spans="5:14" x14ac:dyDescent="0.3">
      <c r="E56" s="9">
        <v>33029</v>
      </c>
      <c r="F56" s="9" t="s">
        <v>360</v>
      </c>
      <c r="G56" s="9" t="s">
        <v>79</v>
      </c>
      <c r="H56" s="8">
        <v>46286</v>
      </c>
      <c r="I56" s="20">
        <v>8750</v>
      </c>
      <c r="J56" s="20">
        <v>8623</v>
      </c>
      <c r="K56" s="20">
        <v>127</v>
      </c>
      <c r="L56" s="6">
        <f t="shared" si="2"/>
        <v>1.4514285714285714E-2</v>
      </c>
      <c r="M56" s="5">
        <f t="shared" si="3"/>
        <v>3.4448151463368324E-3</v>
      </c>
      <c r="N56" s="9"/>
    </row>
    <row r="57" spans="5:14" x14ac:dyDescent="0.3">
      <c r="E57" s="9">
        <v>33266</v>
      </c>
      <c r="F57" s="9" t="s">
        <v>40</v>
      </c>
      <c r="G57" s="9" t="s">
        <v>30</v>
      </c>
      <c r="H57" s="8">
        <v>46290</v>
      </c>
      <c r="I57" s="20">
        <v>7200</v>
      </c>
      <c r="J57" s="20">
        <v>7086</v>
      </c>
      <c r="K57" s="20">
        <v>114</v>
      </c>
      <c r="L57" s="6">
        <f t="shared" si="2"/>
        <v>1.5833333333333335E-2</v>
      </c>
      <c r="M57" s="5">
        <f t="shared" si="3"/>
        <v>3.092196273089755E-3</v>
      </c>
      <c r="N57" s="9"/>
    </row>
    <row r="58" spans="5:14" x14ac:dyDescent="0.3">
      <c r="E58" s="9">
        <v>33295</v>
      </c>
      <c r="F58" s="9" t="s">
        <v>342</v>
      </c>
      <c r="G58" s="9" t="s">
        <v>275</v>
      </c>
      <c r="H58" s="8">
        <v>46289</v>
      </c>
      <c r="I58" s="20">
        <v>7200</v>
      </c>
      <c r="J58" s="20">
        <v>7090</v>
      </c>
      <c r="K58" s="20">
        <v>110</v>
      </c>
      <c r="L58" s="6">
        <f t="shared" si="2"/>
        <v>1.5277777777777777E-2</v>
      </c>
      <c r="M58" s="5">
        <f t="shared" si="3"/>
        <v>2.9836981582445003E-3</v>
      </c>
      <c r="N58" s="9"/>
    </row>
    <row r="59" spans="5:14" x14ac:dyDescent="0.3">
      <c r="E59" s="9">
        <v>33265</v>
      </c>
      <c r="F59" s="9" t="s">
        <v>40</v>
      </c>
      <c r="G59" s="9" t="s">
        <v>30</v>
      </c>
      <c r="H59" s="8">
        <v>46290</v>
      </c>
      <c r="I59" s="20">
        <v>7200</v>
      </c>
      <c r="J59" s="20">
        <v>7094</v>
      </c>
      <c r="K59" s="20">
        <v>106</v>
      </c>
      <c r="L59" s="6">
        <f t="shared" si="2"/>
        <v>1.4722222222222222E-2</v>
      </c>
      <c r="M59" s="5">
        <f t="shared" si="3"/>
        <v>2.8752000433992461E-3</v>
      </c>
      <c r="N59" s="9"/>
    </row>
    <row r="60" spans="5:14" x14ac:dyDescent="0.3">
      <c r="E60" s="9">
        <v>33321</v>
      </c>
      <c r="F60" s="9" t="s">
        <v>382</v>
      </c>
      <c r="G60" s="9" t="s">
        <v>12</v>
      </c>
      <c r="H60" s="8">
        <v>46287</v>
      </c>
      <c r="I60" s="20">
        <v>5207</v>
      </c>
      <c r="J60" s="20">
        <v>5125</v>
      </c>
      <c r="K60" s="20">
        <v>82</v>
      </c>
      <c r="L60" s="6">
        <f t="shared" si="2"/>
        <v>1.5748031496062992E-2</v>
      </c>
      <c r="M60" s="5">
        <f t="shared" si="3"/>
        <v>2.2242113543277185E-3</v>
      </c>
      <c r="N60" s="9"/>
    </row>
    <row r="61" spans="5:14" x14ac:dyDescent="0.3">
      <c r="E61" s="9">
        <v>33270</v>
      </c>
      <c r="F61" s="9" t="s">
        <v>381</v>
      </c>
      <c r="G61" s="9" t="s">
        <v>30</v>
      </c>
      <c r="H61" s="8">
        <v>46288</v>
      </c>
      <c r="I61" s="20">
        <v>5700</v>
      </c>
      <c r="J61" s="20">
        <v>5621</v>
      </c>
      <c r="K61" s="20">
        <v>79</v>
      </c>
      <c r="L61" s="6">
        <f t="shared" si="2"/>
        <v>1.3859649122807018E-2</v>
      </c>
      <c r="M61" s="5">
        <f t="shared" si="3"/>
        <v>2.1428377681937776E-3</v>
      </c>
      <c r="N61" s="9"/>
    </row>
    <row r="62" spans="5:14" x14ac:dyDescent="0.3">
      <c r="E62" s="9">
        <v>33294</v>
      </c>
      <c r="F62" s="9" t="s">
        <v>342</v>
      </c>
      <c r="G62" s="9" t="s">
        <v>275</v>
      </c>
      <c r="H62" s="8">
        <v>46289</v>
      </c>
      <c r="I62" s="20">
        <v>7200</v>
      </c>
      <c r="J62" s="20">
        <v>7122</v>
      </c>
      <c r="K62" s="20">
        <v>78</v>
      </c>
      <c r="L62" s="6">
        <f t="shared" si="2"/>
        <v>1.0833333333333334E-2</v>
      </c>
      <c r="M62" s="5">
        <f t="shared" si="3"/>
        <v>2.1157132394824638E-3</v>
      </c>
      <c r="N62" s="9"/>
    </row>
    <row r="63" spans="5:14" x14ac:dyDescent="0.3">
      <c r="E63" s="9">
        <v>33316</v>
      </c>
      <c r="F63" s="9" t="s">
        <v>342</v>
      </c>
      <c r="G63" s="9" t="s">
        <v>377</v>
      </c>
      <c r="H63" s="8">
        <v>46288</v>
      </c>
      <c r="I63" s="20">
        <v>7200</v>
      </c>
      <c r="J63" s="20">
        <v>7122</v>
      </c>
      <c r="K63" s="20">
        <v>78</v>
      </c>
      <c r="L63" s="6">
        <f t="shared" si="2"/>
        <v>1.0833333333333334E-2</v>
      </c>
      <c r="M63" s="5">
        <f t="shared" si="3"/>
        <v>2.1157132394824638E-3</v>
      </c>
      <c r="N63" s="9"/>
    </row>
    <row r="64" spans="5:14" x14ac:dyDescent="0.3">
      <c r="E64" s="9">
        <v>33259</v>
      </c>
      <c r="F64" s="9" t="s">
        <v>47</v>
      </c>
      <c r="G64" s="9" t="s">
        <v>30</v>
      </c>
      <c r="H64" s="8">
        <v>46289</v>
      </c>
      <c r="I64" s="20">
        <v>9000</v>
      </c>
      <c r="J64" s="20">
        <v>8925</v>
      </c>
      <c r="K64" s="20">
        <v>75</v>
      </c>
      <c r="L64" s="6">
        <f t="shared" si="2"/>
        <v>8.3333333333333332E-3</v>
      </c>
      <c r="M64" s="5">
        <f t="shared" si="3"/>
        <v>2.0343396533485229E-3</v>
      </c>
      <c r="N64" s="9"/>
    </row>
    <row r="65" spans="5:14" x14ac:dyDescent="0.3">
      <c r="E65" s="9">
        <v>33302</v>
      </c>
      <c r="F65" s="9" t="s">
        <v>306</v>
      </c>
      <c r="G65" s="9" t="s">
        <v>12</v>
      </c>
      <c r="H65" s="8">
        <v>46286</v>
      </c>
      <c r="I65" s="20">
        <v>5000</v>
      </c>
      <c r="J65" s="20">
        <v>4930</v>
      </c>
      <c r="K65" s="20">
        <v>70</v>
      </c>
      <c r="L65" s="6">
        <f t="shared" si="2"/>
        <v>1.4E-2</v>
      </c>
      <c r="M65" s="5">
        <f t="shared" si="3"/>
        <v>1.8987170097919549E-3</v>
      </c>
      <c r="N65" s="9"/>
    </row>
    <row r="66" spans="5:14" x14ac:dyDescent="0.3">
      <c r="E66" s="9">
        <v>33260</v>
      </c>
      <c r="F66" s="9" t="s">
        <v>47</v>
      </c>
      <c r="G66" s="9" t="s">
        <v>30</v>
      </c>
      <c r="H66" s="8">
        <v>46289</v>
      </c>
      <c r="I66" s="20">
        <v>7200</v>
      </c>
      <c r="J66" s="20">
        <v>7134</v>
      </c>
      <c r="K66" s="20">
        <v>66</v>
      </c>
      <c r="L66" s="6">
        <f t="shared" ref="L66:L90" si="4">K66/I66</f>
        <v>9.1666666666666667E-3</v>
      </c>
      <c r="M66" s="5">
        <f t="shared" ref="M66:M90" si="5">K66/$B$8</f>
        <v>1.7902188949467004E-3</v>
      </c>
      <c r="N66" s="9"/>
    </row>
    <row r="67" spans="5:14" x14ac:dyDescent="0.3">
      <c r="E67" s="9">
        <v>33269</v>
      </c>
      <c r="F67" s="9" t="s">
        <v>381</v>
      </c>
      <c r="G67" s="9" t="s">
        <v>30</v>
      </c>
      <c r="H67" s="8">
        <v>46288</v>
      </c>
      <c r="I67" s="20">
        <v>5700</v>
      </c>
      <c r="J67" s="20">
        <v>5638</v>
      </c>
      <c r="K67" s="20">
        <v>62</v>
      </c>
      <c r="L67" s="6">
        <f t="shared" si="4"/>
        <v>1.087719298245614E-2</v>
      </c>
      <c r="M67" s="5">
        <f t="shared" si="5"/>
        <v>1.6817207801014457E-3</v>
      </c>
      <c r="N67" s="9"/>
    </row>
    <row r="68" spans="5:14" x14ac:dyDescent="0.3">
      <c r="E68" s="9">
        <v>33255</v>
      </c>
      <c r="F68" s="9" t="s">
        <v>355</v>
      </c>
      <c r="G68" s="9" t="s">
        <v>30</v>
      </c>
      <c r="H68" s="8">
        <v>46290</v>
      </c>
      <c r="I68" s="20">
        <v>3800</v>
      </c>
      <c r="J68" s="20">
        <v>3740</v>
      </c>
      <c r="K68" s="20">
        <v>60</v>
      </c>
      <c r="L68" s="6">
        <f t="shared" si="4"/>
        <v>1.5789473684210527E-2</v>
      </c>
      <c r="M68" s="5">
        <f t="shared" si="5"/>
        <v>1.6274717226788184E-3</v>
      </c>
      <c r="N68" s="9"/>
    </row>
    <row r="69" spans="5:14" x14ac:dyDescent="0.3">
      <c r="E69" s="9">
        <v>33267</v>
      </c>
      <c r="F69" s="9" t="s">
        <v>380</v>
      </c>
      <c r="G69" s="9" t="s">
        <v>30</v>
      </c>
      <c r="H69" s="8">
        <v>46288</v>
      </c>
      <c r="I69" s="20">
        <v>7600</v>
      </c>
      <c r="J69" s="20">
        <v>7541</v>
      </c>
      <c r="K69" s="20">
        <v>59</v>
      </c>
      <c r="L69" s="6">
        <f t="shared" si="4"/>
        <v>7.7631578947368425E-3</v>
      </c>
      <c r="M69" s="5">
        <f t="shared" si="5"/>
        <v>1.6003471939675048E-3</v>
      </c>
      <c r="N69" s="9"/>
    </row>
    <row r="70" spans="5:14" x14ac:dyDescent="0.3">
      <c r="E70" s="9">
        <v>33195</v>
      </c>
      <c r="F70" s="9" t="s">
        <v>379</v>
      </c>
      <c r="G70" s="9" t="s">
        <v>126</v>
      </c>
      <c r="H70" s="8">
        <v>46289</v>
      </c>
      <c r="I70" s="20">
        <v>7700</v>
      </c>
      <c r="J70" s="20">
        <v>7645</v>
      </c>
      <c r="K70" s="20">
        <v>55</v>
      </c>
      <c r="L70" s="6">
        <f t="shared" si="4"/>
        <v>7.1428571428571426E-3</v>
      </c>
      <c r="M70" s="5">
        <f t="shared" si="5"/>
        <v>1.4918490791222502E-3</v>
      </c>
      <c r="N70" s="9"/>
    </row>
    <row r="71" spans="5:14" x14ac:dyDescent="0.3">
      <c r="E71" s="9">
        <v>33249</v>
      </c>
      <c r="F71" s="9" t="s">
        <v>378</v>
      </c>
      <c r="G71" s="9" t="s">
        <v>222</v>
      </c>
      <c r="H71" s="8">
        <v>46288</v>
      </c>
      <c r="I71" s="20">
        <v>3600</v>
      </c>
      <c r="J71" s="20">
        <v>3557</v>
      </c>
      <c r="K71" s="20">
        <v>43</v>
      </c>
      <c r="L71" s="6">
        <f t="shared" si="4"/>
        <v>1.1944444444444445E-2</v>
      </c>
      <c r="M71" s="5">
        <f t="shared" si="5"/>
        <v>1.1663547345864866E-3</v>
      </c>
      <c r="N71" s="9"/>
    </row>
    <row r="72" spans="5:14" x14ac:dyDescent="0.3">
      <c r="E72" s="9">
        <v>33098</v>
      </c>
      <c r="F72" s="9" t="s">
        <v>257</v>
      </c>
      <c r="G72" s="9" t="s">
        <v>0</v>
      </c>
      <c r="H72" s="8">
        <v>46286</v>
      </c>
      <c r="I72" s="20">
        <v>14000</v>
      </c>
      <c r="J72" s="20">
        <v>13967</v>
      </c>
      <c r="K72" s="20">
        <v>33</v>
      </c>
      <c r="L72" s="6">
        <f t="shared" si="4"/>
        <v>2.3571428571428571E-3</v>
      </c>
      <c r="M72" s="5">
        <f t="shared" si="5"/>
        <v>8.951094474733502E-4</v>
      </c>
      <c r="N72" s="9"/>
    </row>
    <row r="73" spans="5:14" x14ac:dyDescent="0.3">
      <c r="E73" s="9">
        <v>33346</v>
      </c>
      <c r="F73" s="9" t="s">
        <v>350</v>
      </c>
      <c r="G73" s="9" t="s">
        <v>2</v>
      </c>
      <c r="H73" s="8">
        <v>46289</v>
      </c>
      <c r="I73" s="20">
        <v>1600</v>
      </c>
      <c r="J73" s="20">
        <v>1580</v>
      </c>
      <c r="K73" s="20">
        <v>20</v>
      </c>
      <c r="L73" s="6">
        <f t="shared" si="4"/>
        <v>1.2500000000000001E-2</v>
      </c>
      <c r="M73" s="5">
        <f t="shared" si="5"/>
        <v>5.4249057422627283E-4</v>
      </c>
      <c r="N73" s="9"/>
    </row>
    <row r="74" spans="5:14" x14ac:dyDescent="0.3">
      <c r="E74" s="9">
        <v>33319</v>
      </c>
      <c r="F74" s="9" t="s">
        <v>342</v>
      </c>
      <c r="G74" s="9" t="s">
        <v>377</v>
      </c>
      <c r="H74" s="8">
        <v>46288</v>
      </c>
      <c r="I74" s="20">
        <v>7200</v>
      </c>
      <c r="J74" s="20">
        <v>7186</v>
      </c>
      <c r="K74" s="20">
        <v>14</v>
      </c>
      <c r="L74" s="6">
        <f t="shared" si="4"/>
        <v>1.9444444444444444E-3</v>
      </c>
      <c r="M74" s="5">
        <f t="shared" si="5"/>
        <v>3.7974340195839098E-4</v>
      </c>
      <c r="N74" s="9"/>
    </row>
    <row r="75" spans="5:14" x14ac:dyDescent="0.3">
      <c r="E75" s="9">
        <v>33028</v>
      </c>
      <c r="F75" s="9" t="s">
        <v>360</v>
      </c>
      <c r="G75" s="9" t="s">
        <v>79</v>
      </c>
      <c r="H75" s="8">
        <v>46286</v>
      </c>
      <c r="I75" s="20">
        <v>8750</v>
      </c>
      <c r="J75" s="20">
        <v>8807</v>
      </c>
      <c r="K75" s="20">
        <v>0</v>
      </c>
      <c r="L75" s="6">
        <f t="shared" si="4"/>
        <v>0</v>
      </c>
      <c r="M75" s="5">
        <f t="shared" si="5"/>
        <v>0</v>
      </c>
      <c r="N75" s="9"/>
    </row>
    <row r="76" spans="5:14" x14ac:dyDescent="0.3">
      <c r="E76" s="9">
        <v>33247</v>
      </c>
      <c r="F76" s="9" t="s">
        <v>376</v>
      </c>
      <c r="G76" s="9" t="s">
        <v>372</v>
      </c>
      <c r="H76" s="8">
        <v>46288</v>
      </c>
      <c r="I76" s="20">
        <v>10500</v>
      </c>
      <c r="J76" s="20">
        <v>10748</v>
      </c>
      <c r="K76" s="20">
        <v>0</v>
      </c>
      <c r="L76" s="6">
        <f t="shared" si="4"/>
        <v>0</v>
      </c>
      <c r="M76" s="5">
        <f t="shared" si="5"/>
        <v>0</v>
      </c>
      <c r="N76" s="9"/>
    </row>
    <row r="77" spans="5:14" x14ac:dyDescent="0.3">
      <c r="E77" s="9">
        <v>33252</v>
      </c>
      <c r="F77" s="9" t="s">
        <v>375</v>
      </c>
      <c r="G77" s="9" t="s">
        <v>372</v>
      </c>
      <c r="H77" s="8">
        <v>46288</v>
      </c>
      <c r="I77" s="20">
        <v>8000</v>
      </c>
      <c r="J77" s="20">
        <v>8000</v>
      </c>
      <c r="K77" s="20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33253</v>
      </c>
      <c r="F78" s="9" t="s">
        <v>373</v>
      </c>
      <c r="G78" s="9" t="s">
        <v>372</v>
      </c>
      <c r="H78" s="8">
        <v>46286</v>
      </c>
      <c r="I78" s="20">
        <v>4000</v>
      </c>
      <c r="J78" s="20">
        <v>4000</v>
      </c>
      <c r="K78" s="20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33254</v>
      </c>
      <c r="F79" s="9" t="s">
        <v>374</v>
      </c>
      <c r="G79" s="9" t="s">
        <v>372</v>
      </c>
      <c r="H79" s="8">
        <v>46287</v>
      </c>
      <c r="I79" s="20">
        <v>8800</v>
      </c>
      <c r="J79" s="20">
        <v>8800</v>
      </c>
      <c r="K79" s="20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33303</v>
      </c>
      <c r="F80" s="9" t="s">
        <v>297</v>
      </c>
      <c r="G80" s="9" t="s">
        <v>12</v>
      </c>
      <c r="H80" s="8">
        <v>46287</v>
      </c>
      <c r="I80" s="20">
        <v>5600</v>
      </c>
      <c r="J80" s="20">
        <v>5750</v>
      </c>
      <c r="K80" s="20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33304</v>
      </c>
      <c r="F81" s="9" t="s">
        <v>296</v>
      </c>
      <c r="G81" s="9" t="s">
        <v>12</v>
      </c>
      <c r="H81" s="8">
        <v>46286</v>
      </c>
      <c r="I81" s="20">
        <v>5600</v>
      </c>
      <c r="J81" s="20">
        <v>5839</v>
      </c>
      <c r="K81" s="20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33305</v>
      </c>
      <c r="F82" s="9" t="s">
        <v>294</v>
      </c>
      <c r="G82" s="9" t="s">
        <v>12</v>
      </c>
      <c r="H82" s="8">
        <v>46287</v>
      </c>
      <c r="I82" s="20">
        <v>5600</v>
      </c>
      <c r="J82" s="20">
        <v>5750</v>
      </c>
      <c r="K82" s="20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33307</v>
      </c>
      <c r="F83" s="9" t="s">
        <v>363</v>
      </c>
      <c r="G83" s="9" t="s">
        <v>24</v>
      </c>
      <c r="H83" s="8">
        <v>46289</v>
      </c>
      <c r="I83" s="20">
        <v>10400</v>
      </c>
      <c r="J83" s="20">
        <v>10400</v>
      </c>
      <c r="K83" s="20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33311</v>
      </c>
      <c r="F84" s="9" t="s">
        <v>373</v>
      </c>
      <c r="G84" s="9" t="s">
        <v>372</v>
      </c>
      <c r="H84" s="8">
        <v>46290</v>
      </c>
      <c r="I84" s="20">
        <v>8000</v>
      </c>
      <c r="J84" s="20">
        <v>8000</v>
      </c>
      <c r="K84" s="20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33324</v>
      </c>
      <c r="F85" s="9" t="s">
        <v>297</v>
      </c>
      <c r="G85" s="9" t="s">
        <v>12</v>
      </c>
      <c r="H85" s="8">
        <v>46287</v>
      </c>
      <c r="I85" s="20">
        <v>4200</v>
      </c>
      <c r="J85" s="20">
        <v>4315</v>
      </c>
      <c r="K85" s="20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33329</v>
      </c>
      <c r="F86" s="9" t="s">
        <v>374</v>
      </c>
      <c r="G86" s="9" t="s">
        <v>372</v>
      </c>
      <c r="H86" s="8">
        <v>46287</v>
      </c>
      <c r="I86" s="20">
        <v>2200</v>
      </c>
      <c r="J86" s="20">
        <v>2200</v>
      </c>
      <c r="K86" s="20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E87" s="9">
        <v>33344</v>
      </c>
      <c r="F87" s="9" t="s">
        <v>306</v>
      </c>
      <c r="G87" s="9" t="s">
        <v>2</v>
      </c>
      <c r="H87" s="8">
        <v>46289</v>
      </c>
      <c r="I87" s="20">
        <v>2000</v>
      </c>
      <c r="J87" s="20">
        <v>2040</v>
      </c>
      <c r="K87" s="20">
        <v>0</v>
      </c>
      <c r="L87" s="6">
        <f t="shared" si="4"/>
        <v>0</v>
      </c>
      <c r="M87" s="5">
        <f t="shared" si="5"/>
        <v>0</v>
      </c>
      <c r="N87" s="9"/>
    </row>
    <row r="88" spans="5:14" x14ac:dyDescent="0.3">
      <c r="E88" s="9">
        <v>33345</v>
      </c>
      <c r="F88" s="9" t="s">
        <v>343</v>
      </c>
      <c r="G88" s="9" t="s">
        <v>2</v>
      </c>
      <c r="H88" s="8">
        <v>46289</v>
      </c>
      <c r="I88" s="20">
        <v>1600</v>
      </c>
      <c r="J88" s="20">
        <v>1600</v>
      </c>
      <c r="K88" s="20">
        <v>0</v>
      </c>
      <c r="L88" s="6">
        <f t="shared" si="4"/>
        <v>0</v>
      </c>
      <c r="M88" s="5">
        <f t="shared" si="5"/>
        <v>0</v>
      </c>
      <c r="N88" s="9"/>
    </row>
    <row r="89" spans="5:14" x14ac:dyDescent="0.3">
      <c r="E89" s="9">
        <v>33366</v>
      </c>
      <c r="F89" s="9" t="s">
        <v>303</v>
      </c>
      <c r="G89" s="9" t="s">
        <v>2</v>
      </c>
      <c r="H89" s="8">
        <v>46290</v>
      </c>
      <c r="I89" s="20">
        <v>1400</v>
      </c>
      <c r="J89" s="20">
        <v>1412</v>
      </c>
      <c r="K89" s="20">
        <v>0</v>
      </c>
      <c r="L89" s="6">
        <f t="shared" si="4"/>
        <v>0</v>
      </c>
      <c r="M89" s="5">
        <f t="shared" si="5"/>
        <v>0</v>
      </c>
      <c r="N89" s="9"/>
    </row>
    <row r="90" spans="5:14" x14ac:dyDescent="0.3">
      <c r="E90" s="9">
        <v>33367</v>
      </c>
      <c r="F90" s="9" t="s">
        <v>373</v>
      </c>
      <c r="G90" s="9" t="s">
        <v>372</v>
      </c>
      <c r="H90" s="8">
        <v>46289</v>
      </c>
      <c r="I90" s="20">
        <v>2400</v>
      </c>
      <c r="J90" s="20">
        <v>2400</v>
      </c>
      <c r="K90" s="20">
        <v>0</v>
      </c>
      <c r="L90" s="6">
        <f t="shared" si="4"/>
        <v>0</v>
      </c>
      <c r="M90" s="5">
        <f t="shared" si="5"/>
        <v>0</v>
      </c>
      <c r="N90" s="9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3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CB09-BD02-4A21-B9F7-EEE1CEFF463C}">
  <sheetPr>
    <tabColor rgb="FF002060"/>
    <pageSetUpPr fitToPage="1"/>
  </sheetPr>
  <dimension ref="A1:N90"/>
  <sheetViews>
    <sheetView topLeftCell="F40" zoomScaleNormal="100" workbookViewId="0">
      <selection activeCell="H70" sqref="H7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46291</v>
      </c>
      <c r="C2" s="4"/>
      <c r="E2" s="9">
        <v>32784</v>
      </c>
      <c r="F2" s="32" t="s">
        <v>293</v>
      </c>
      <c r="G2" s="9" t="s">
        <v>12</v>
      </c>
      <c r="H2" s="8">
        <v>46295</v>
      </c>
      <c r="I2" s="7">
        <v>20000</v>
      </c>
      <c r="J2" s="7">
        <v>16375</v>
      </c>
      <c r="K2" s="7">
        <v>3625</v>
      </c>
      <c r="L2" s="6">
        <f t="shared" ref="L2:L33" si="0">K2/I2</f>
        <v>0.18124999999999999</v>
      </c>
      <c r="M2" s="5">
        <f t="shared" ref="M2:M33" si="1">K2/$B$8</f>
        <v>7.2180960156109988E-2</v>
      </c>
      <c r="N2" s="9"/>
    </row>
    <row r="3" spans="1:14" x14ac:dyDescent="0.3">
      <c r="A3" s="15" t="s">
        <v>107</v>
      </c>
      <c r="B3" s="8">
        <v>46297</v>
      </c>
      <c r="C3" s="4"/>
      <c r="E3" s="9">
        <v>32465</v>
      </c>
      <c r="F3" s="32" t="s">
        <v>172</v>
      </c>
      <c r="G3" s="9" t="s">
        <v>12</v>
      </c>
      <c r="H3" s="8">
        <v>46297</v>
      </c>
      <c r="I3" s="7">
        <v>18000</v>
      </c>
      <c r="J3" s="7">
        <v>15250</v>
      </c>
      <c r="K3" s="7">
        <v>2750</v>
      </c>
      <c r="L3" s="6">
        <f t="shared" si="0"/>
        <v>0.15277777777777779</v>
      </c>
      <c r="M3" s="5">
        <f t="shared" si="1"/>
        <v>5.4757969773600687E-2</v>
      </c>
      <c r="N3" s="9"/>
    </row>
    <row r="4" spans="1:14" x14ac:dyDescent="0.3">
      <c r="E4" s="9">
        <v>33327</v>
      </c>
      <c r="F4" s="32" t="s">
        <v>444</v>
      </c>
      <c r="G4" s="9" t="s">
        <v>12</v>
      </c>
      <c r="H4" s="8">
        <v>46297</v>
      </c>
      <c r="I4" s="7">
        <v>20000</v>
      </c>
      <c r="J4" s="7">
        <v>17500</v>
      </c>
      <c r="K4" s="7">
        <v>2500</v>
      </c>
      <c r="L4" s="6">
        <f t="shared" si="0"/>
        <v>0.125</v>
      </c>
      <c r="M4" s="5">
        <f t="shared" si="1"/>
        <v>4.9779972521455169E-2</v>
      </c>
      <c r="N4" s="9"/>
    </row>
    <row r="5" spans="1:14" x14ac:dyDescent="0.3">
      <c r="A5" s="15" t="s">
        <v>105</v>
      </c>
      <c r="B5" s="9">
        <f>SUBTOTAL(3,E2:E1048576)</f>
        <v>85</v>
      </c>
      <c r="E5" s="9">
        <v>32971</v>
      </c>
      <c r="F5" s="32" t="s">
        <v>250</v>
      </c>
      <c r="G5" s="9" t="s">
        <v>176</v>
      </c>
      <c r="H5" s="8">
        <v>46294</v>
      </c>
      <c r="I5" s="7">
        <v>16000</v>
      </c>
      <c r="J5" s="7">
        <v>13788</v>
      </c>
      <c r="K5" s="7">
        <v>2212</v>
      </c>
      <c r="L5" s="6">
        <f t="shared" si="0"/>
        <v>0.13825000000000001</v>
      </c>
      <c r="M5" s="5">
        <f t="shared" si="1"/>
        <v>4.4045319686983532E-2</v>
      </c>
      <c r="N5" s="9"/>
    </row>
    <row r="6" spans="1:14" x14ac:dyDescent="0.3">
      <c r="A6" s="15" t="s">
        <v>103</v>
      </c>
      <c r="B6" s="20">
        <f>SUBTOTAL(9,I:I)</f>
        <v>765000</v>
      </c>
      <c r="C6" s="28"/>
      <c r="E6" s="9">
        <v>32471</v>
      </c>
      <c r="F6" s="32" t="s">
        <v>97</v>
      </c>
      <c r="G6" s="9" t="s">
        <v>12</v>
      </c>
      <c r="H6" s="8">
        <v>46293</v>
      </c>
      <c r="I6" s="7">
        <v>21700</v>
      </c>
      <c r="J6" s="7">
        <v>19525</v>
      </c>
      <c r="K6" s="7">
        <v>2175</v>
      </c>
      <c r="L6" s="6">
        <f t="shared" si="0"/>
        <v>0.10023041474654378</v>
      </c>
      <c r="M6" s="5">
        <f t="shared" si="1"/>
        <v>4.3308576093665993E-2</v>
      </c>
      <c r="N6" s="9"/>
    </row>
    <row r="7" spans="1:14" x14ac:dyDescent="0.3">
      <c r="A7" s="15" t="s">
        <v>101</v>
      </c>
      <c r="B7" s="20">
        <f>SUBTOTAL(9,J:J)</f>
        <v>715092</v>
      </c>
      <c r="C7" s="28"/>
      <c r="E7" s="9">
        <v>33371</v>
      </c>
      <c r="F7" s="32" t="s">
        <v>441</v>
      </c>
      <c r="G7" s="9" t="s">
        <v>308</v>
      </c>
      <c r="H7" s="8">
        <v>46295</v>
      </c>
      <c r="I7" s="7">
        <v>10500</v>
      </c>
      <c r="J7" s="7">
        <v>8363</v>
      </c>
      <c r="K7" s="7">
        <v>2137</v>
      </c>
      <c r="L7" s="6">
        <f t="shared" si="0"/>
        <v>0.20352380952380952</v>
      </c>
      <c r="M7" s="5">
        <f t="shared" si="1"/>
        <v>4.255192051133988E-2</v>
      </c>
      <c r="N7" s="9"/>
    </row>
    <row r="8" spans="1:14" x14ac:dyDescent="0.3">
      <c r="A8" s="15" t="s">
        <v>99</v>
      </c>
      <c r="B8" s="20">
        <f>SUBTOTAL(9,K:K)</f>
        <v>50221</v>
      </c>
      <c r="C8" s="28"/>
      <c r="E8" s="9">
        <v>32565</v>
      </c>
      <c r="F8" s="32" t="s">
        <v>172</v>
      </c>
      <c r="G8" s="9" t="s">
        <v>12</v>
      </c>
      <c r="H8" s="8">
        <v>46297</v>
      </c>
      <c r="I8" s="7">
        <v>16000</v>
      </c>
      <c r="J8" s="7">
        <v>14050</v>
      </c>
      <c r="K8" s="7">
        <v>1950</v>
      </c>
      <c r="L8" s="6">
        <f t="shared" si="0"/>
        <v>0.121875</v>
      </c>
      <c r="M8" s="5">
        <f t="shared" si="1"/>
        <v>3.8828378566735031E-2</v>
      </c>
      <c r="N8" s="9"/>
    </row>
    <row r="9" spans="1:14" x14ac:dyDescent="0.3">
      <c r="A9" s="15" t="s">
        <v>98</v>
      </c>
      <c r="B9" s="18">
        <f>B8/B6</f>
        <v>6.564836601307189E-2</v>
      </c>
      <c r="C9" s="52"/>
      <c r="E9" s="9">
        <v>32567</v>
      </c>
      <c r="F9" s="32" t="s">
        <v>293</v>
      </c>
      <c r="G9" s="9" t="s">
        <v>12</v>
      </c>
      <c r="H9" s="8">
        <v>46295</v>
      </c>
      <c r="I9" s="7">
        <v>20000</v>
      </c>
      <c r="J9" s="7">
        <v>18050</v>
      </c>
      <c r="K9" s="7">
        <v>1950</v>
      </c>
      <c r="L9" s="6">
        <f t="shared" si="0"/>
        <v>9.7500000000000003E-2</v>
      </c>
      <c r="M9" s="5">
        <f t="shared" si="1"/>
        <v>3.8828378566735031E-2</v>
      </c>
      <c r="N9" s="9"/>
    </row>
    <row r="10" spans="1:14" x14ac:dyDescent="0.3">
      <c r="A10" s="15" t="s">
        <v>96</v>
      </c>
      <c r="B10" s="9">
        <f>COUNTIF(L:L,"&gt;=5%")</f>
        <v>34</v>
      </c>
      <c r="E10" s="9">
        <v>32964</v>
      </c>
      <c r="F10" s="32" t="s">
        <v>250</v>
      </c>
      <c r="G10" s="9" t="s">
        <v>176</v>
      </c>
      <c r="H10" s="8">
        <v>46296</v>
      </c>
      <c r="I10" s="7">
        <v>16000</v>
      </c>
      <c r="J10" s="7">
        <v>14149</v>
      </c>
      <c r="K10" s="7">
        <v>1851</v>
      </c>
      <c r="L10" s="6">
        <f t="shared" si="0"/>
        <v>0.1156875</v>
      </c>
      <c r="M10" s="5">
        <f t="shared" si="1"/>
        <v>3.6857091654885404E-2</v>
      </c>
      <c r="N10" s="9"/>
    </row>
    <row r="11" spans="1:14" x14ac:dyDescent="0.3">
      <c r="A11" s="15" t="s">
        <v>95</v>
      </c>
      <c r="B11" s="48">
        <f>B10/B5</f>
        <v>0.4</v>
      </c>
      <c r="C11" s="51"/>
      <c r="E11" s="9">
        <v>33330</v>
      </c>
      <c r="F11" s="32" t="s">
        <v>449</v>
      </c>
      <c r="G11" s="9" t="s">
        <v>448</v>
      </c>
      <c r="H11" s="8">
        <v>46295</v>
      </c>
      <c r="I11" s="7">
        <v>12000</v>
      </c>
      <c r="J11" s="7">
        <v>10300</v>
      </c>
      <c r="K11" s="7">
        <v>1700</v>
      </c>
      <c r="L11" s="6">
        <f t="shared" si="0"/>
        <v>0.14166666666666666</v>
      </c>
      <c r="M11" s="5">
        <f t="shared" si="1"/>
        <v>3.3850381314589513E-2</v>
      </c>
      <c r="N11" s="9"/>
    </row>
    <row r="12" spans="1:14" x14ac:dyDescent="0.3">
      <c r="E12" s="9">
        <v>32785</v>
      </c>
      <c r="F12" s="32" t="s">
        <v>293</v>
      </c>
      <c r="G12" s="9" t="s">
        <v>12</v>
      </c>
      <c r="H12" s="8">
        <v>46297</v>
      </c>
      <c r="I12" s="7">
        <v>20000</v>
      </c>
      <c r="J12" s="7">
        <v>18325</v>
      </c>
      <c r="K12" s="7">
        <v>1675</v>
      </c>
      <c r="L12" s="6">
        <f t="shared" si="0"/>
        <v>8.3750000000000005E-2</v>
      </c>
      <c r="M12" s="5">
        <f t="shared" si="1"/>
        <v>3.3352581589374965E-2</v>
      </c>
      <c r="N12" s="9"/>
    </row>
    <row r="13" spans="1:14" x14ac:dyDescent="0.3">
      <c r="E13" s="9">
        <v>33326</v>
      </c>
      <c r="F13" s="32" t="s">
        <v>444</v>
      </c>
      <c r="G13" s="9" t="s">
        <v>12</v>
      </c>
      <c r="H13" s="8">
        <v>46297</v>
      </c>
      <c r="I13" s="7">
        <v>20000</v>
      </c>
      <c r="J13" s="7">
        <v>18400</v>
      </c>
      <c r="K13" s="7">
        <v>1600</v>
      </c>
      <c r="L13" s="6">
        <f t="shared" si="0"/>
        <v>0.08</v>
      </c>
      <c r="M13" s="5">
        <f t="shared" si="1"/>
        <v>3.1859182413731306E-2</v>
      </c>
      <c r="N13" s="9"/>
    </row>
    <row r="14" spans="1:14" x14ac:dyDescent="0.3">
      <c r="A14" s="26" t="s">
        <v>398</v>
      </c>
      <c r="B14" s="27">
        <f>B8-'[1]28-09'!B8</f>
        <v>13354</v>
      </c>
      <c r="C14" s="50"/>
      <c r="E14" s="9">
        <v>33352</v>
      </c>
      <c r="F14" s="32" t="s">
        <v>396</v>
      </c>
      <c r="G14" s="9" t="s">
        <v>12</v>
      </c>
      <c r="H14" s="8">
        <v>46293</v>
      </c>
      <c r="I14" s="7">
        <v>8400</v>
      </c>
      <c r="J14" s="7">
        <v>6922</v>
      </c>
      <c r="K14" s="7">
        <v>1478</v>
      </c>
      <c r="L14" s="6">
        <f t="shared" si="0"/>
        <v>0.17595238095238094</v>
      </c>
      <c r="M14" s="5">
        <f t="shared" si="1"/>
        <v>2.9429919754684297E-2</v>
      </c>
      <c r="N14" s="9"/>
    </row>
    <row r="15" spans="1:14" x14ac:dyDescent="0.3">
      <c r="A15" s="26" t="s">
        <v>398</v>
      </c>
      <c r="B15" s="25">
        <f>B9-'[1]28-09'!B9</f>
        <v>2.3148178683469779E-2</v>
      </c>
      <c r="C15" s="49"/>
      <c r="E15" s="9">
        <v>32972</v>
      </c>
      <c r="F15" s="32" t="s">
        <v>250</v>
      </c>
      <c r="G15" s="9" t="s">
        <v>176</v>
      </c>
      <c r="H15" s="8">
        <v>46294</v>
      </c>
      <c r="I15" s="7">
        <v>16000</v>
      </c>
      <c r="J15" s="7">
        <v>14590</v>
      </c>
      <c r="K15" s="7">
        <v>1410</v>
      </c>
      <c r="L15" s="6">
        <f t="shared" si="0"/>
        <v>8.8124999999999995E-2</v>
      </c>
      <c r="M15" s="5">
        <f t="shared" si="1"/>
        <v>2.8075904502100714E-2</v>
      </c>
      <c r="N15" s="9"/>
    </row>
    <row r="16" spans="1:14" x14ac:dyDescent="0.3">
      <c r="E16" s="9">
        <v>33116</v>
      </c>
      <c r="F16" s="32" t="s">
        <v>447</v>
      </c>
      <c r="G16" s="9" t="s">
        <v>12</v>
      </c>
      <c r="H16" s="8">
        <v>46293</v>
      </c>
      <c r="I16" s="7">
        <v>18000</v>
      </c>
      <c r="J16" s="7">
        <v>16675</v>
      </c>
      <c r="K16" s="7">
        <v>1325</v>
      </c>
      <c r="L16" s="6">
        <f t="shared" si="0"/>
        <v>7.3611111111111113E-2</v>
      </c>
      <c r="M16" s="5">
        <f t="shared" si="1"/>
        <v>2.638338543637124E-2</v>
      </c>
      <c r="N16" s="9"/>
    </row>
    <row r="17" spans="5:14" x14ac:dyDescent="0.3">
      <c r="E17" s="9">
        <v>33331</v>
      </c>
      <c r="F17" s="32" t="s">
        <v>174</v>
      </c>
      <c r="G17" s="9" t="s">
        <v>71</v>
      </c>
      <c r="H17" s="8">
        <v>46295</v>
      </c>
      <c r="I17" s="7">
        <v>20000</v>
      </c>
      <c r="J17" s="7">
        <v>18750</v>
      </c>
      <c r="K17" s="7">
        <v>1250</v>
      </c>
      <c r="L17" s="6">
        <f t="shared" si="0"/>
        <v>6.25E-2</v>
      </c>
      <c r="M17" s="5">
        <f t="shared" si="1"/>
        <v>2.4889986260727585E-2</v>
      </c>
      <c r="N17" s="9"/>
    </row>
    <row r="18" spans="5:14" x14ac:dyDescent="0.3">
      <c r="E18" s="9">
        <v>33357</v>
      </c>
      <c r="F18" s="32" t="s">
        <v>446</v>
      </c>
      <c r="G18" s="9" t="s">
        <v>434</v>
      </c>
      <c r="H18" s="8">
        <v>46294</v>
      </c>
      <c r="I18" s="7">
        <v>6300</v>
      </c>
      <c r="J18" s="7">
        <v>5114</v>
      </c>
      <c r="K18" s="7">
        <v>1186</v>
      </c>
      <c r="L18" s="6">
        <f t="shared" si="0"/>
        <v>0.18825396825396826</v>
      </c>
      <c r="M18" s="5">
        <f t="shared" si="1"/>
        <v>2.3615618964178332E-2</v>
      </c>
      <c r="N18" s="9"/>
    </row>
    <row r="19" spans="5:14" x14ac:dyDescent="0.3">
      <c r="E19" s="9">
        <v>32830</v>
      </c>
      <c r="F19" s="32" t="s">
        <v>445</v>
      </c>
      <c r="G19" s="9" t="s">
        <v>180</v>
      </c>
      <c r="H19" s="8">
        <v>46296</v>
      </c>
      <c r="I19" s="7">
        <v>12000</v>
      </c>
      <c r="J19" s="7">
        <v>10975</v>
      </c>
      <c r="K19" s="7">
        <v>1025</v>
      </c>
      <c r="L19" s="6">
        <f t="shared" si="0"/>
        <v>8.5416666666666669E-2</v>
      </c>
      <c r="M19" s="5">
        <f t="shared" si="1"/>
        <v>2.0409788733796619E-2</v>
      </c>
      <c r="N19" s="9"/>
    </row>
    <row r="20" spans="5:14" x14ac:dyDescent="0.3">
      <c r="E20" s="9">
        <v>33328</v>
      </c>
      <c r="F20" s="32" t="s">
        <v>444</v>
      </c>
      <c r="G20" s="9" t="s">
        <v>12</v>
      </c>
      <c r="H20" s="8">
        <v>46297</v>
      </c>
      <c r="I20" s="7">
        <v>20000</v>
      </c>
      <c r="J20" s="7">
        <v>19000</v>
      </c>
      <c r="K20" s="7">
        <v>1000</v>
      </c>
      <c r="L20" s="6">
        <f t="shared" si="0"/>
        <v>0.05</v>
      </c>
      <c r="M20" s="5">
        <f t="shared" si="1"/>
        <v>1.9911989008582067E-2</v>
      </c>
      <c r="N20" s="9"/>
    </row>
    <row r="21" spans="5:14" x14ac:dyDescent="0.3">
      <c r="E21" s="9">
        <v>33358</v>
      </c>
      <c r="F21" s="32" t="s">
        <v>443</v>
      </c>
      <c r="G21" s="9" t="s">
        <v>434</v>
      </c>
      <c r="H21" s="8">
        <v>46294</v>
      </c>
      <c r="I21" s="7">
        <v>6300</v>
      </c>
      <c r="J21" s="7">
        <v>5314</v>
      </c>
      <c r="K21" s="7">
        <v>986</v>
      </c>
      <c r="L21" s="6">
        <f t="shared" si="0"/>
        <v>0.15650793650793651</v>
      </c>
      <c r="M21" s="5">
        <f t="shared" si="1"/>
        <v>1.9633221162461918E-2</v>
      </c>
      <c r="N21" s="9"/>
    </row>
    <row r="22" spans="5:14" x14ac:dyDescent="0.3">
      <c r="E22" s="9">
        <v>33112</v>
      </c>
      <c r="F22" s="32" t="s">
        <v>397</v>
      </c>
      <c r="G22" s="9" t="s">
        <v>12</v>
      </c>
      <c r="H22" s="8">
        <v>46293</v>
      </c>
      <c r="I22" s="7">
        <v>20000</v>
      </c>
      <c r="J22" s="7">
        <v>19050</v>
      </c>
      <c r="K22" s="7">
        <v>950</v>
      </c>
      <c r="L22" s="6">
        <f t="shared" si="0"/>
        <v>4.7500000000000001E-2</v>
      </c>
      <c r="M22" s="5">
        <f t="shared" si="1"/>
        <v>1.8916389558152964E-2</v>
      </c>
      <c r="N22" s="9"/>
    </row>
    <row r="23" spans="5:14" x14ac:dyDescent="0.3">
      <c r="E23" s="9">
        <v>33355</v>
      </c>
      <c r="F23" s="32" t="s">
        <v>442</v>
      </c>
      <c r="G23" s="9" t="s">
        <v>434</v>
      </c>
      <c r="H23" s="8">
        <v>46293</v>
      </c>
      <c r="I23" s="7">
        <v>10500</v>
      </c>
      <c r="J23" s="7">
        <v>9600</v>
      </c>
      <c r="K23" s="7">
        <v>900</v>
      </c>
      <c r="L23" s="6">
        <f t="shared" si="0"/>
        <v>8.5714285714285715E-2</v>
      </c>
      <c r="M23" s="5">
        <f t="shared" si="1"/>
        <v>1.792079010772386E-2</v>
      </c>
      <c r="N23" s="9"/>
    </row>
    <row r="24" spans="5:14" x14ac:dyDescent="0.3">
      <c r="E24" s="9">
        <v>33372</v>
      </c>
      <c r="F24" s="32" t="s">
        <v>441</v>
      </c>
      <c r="G24" s="9" t="s">
        <v>308</v>
      </c>
      <c r="H24" s="8">
        <v>46294</v>
      </c>
      <c r="I24" s="7">
        <v>8400</v>
      </c>
      <c r="J24" s="7">
        <v>7514</v>
      </c>
      <c r="K24" s="7">
        <v>886</v>
      </c>
      <c r="L24" s="6">
        <f t="shared" si="0"/>
        <v>0.10547619047619047</v>
      </c>
      <c r="M24" s="5">
        <f t="shared" si="1"/>
        <v>1.7642022261603711E-2</v>
      </c>
      <c r="N24" s="9"/>
    </row>
    <row r="25" spans="5:14" x14ac:dyDescent="0.3">
      <c r="E25" s="9">
        <v>32975</v>
      </c>
      <c r="F25" s="32" t="s">
        <v>250</v>
      </c>
      <c r="G25" s="9" t="s">
        <v>176</v>
      </c>
      <c r="H25" s="8">
        <v>46294</v>
      </c>
      <c r="I25" s="7">
        <v>16000</v>
      </c>
      <c r="J25" s="7">
        <v>15154</v>
      </c>
      <c r="K25" s="7">
        <v>846</v>
      </c>
      <c r="L25" s="6">
        <f t="shared" si="0"/>
        <v>5.2874999999999998E-2</v>
      </c>
      <c r="M25" s="5">
        <f t="shared" si="1"/>
        <v>1.684554270126043E-2</v>
      </c>
      <c r="N25" s="9"/>
    </row>
    <row r="26" spans="5:14" x14ac:dyDescent="0.3">
      <c r="E26" s="9">
        <v>33340</v>
      </c>
      <c r="F26" s="32" t="s">
        <v>440</v>
      </c>
      <c r="G26" s="9" t="s">
        <v>222</v>
      </c>
      <c r="H26" s="8">
        <v>46295</v>
      </c>
      <c r="I26" s="7">
        <v>8400</v>
      </c>
      <c r="J26" s="7">
        <v>7606</v>
      </c>
      <c r="K26" s="7">
        <v>794</v>
      </c>
      <c r="L26" s="6">
        <f t="shared" si="0"/>
        <v>9.4523809523809524E-2</v>
      </c>
      <c r="M26" s="5">
        <f t="shared" si="1"/>
        <v>1.5810119272814161E-2</v>
      </c>
      <c r="N26" s="9"/>
    </row>
    <row r="27" spans="5:14" x14ac:dyDescent="0.3">
      <c r="E27" s="9">
        <v>33248</v>
      </c>
      <c r="F27" s="32" t="s">
        <v>418</v>
      </c>
      <c r="G27" s="9" t="s">
        <v>30</v>
      </c>
      <c r="H27" s="8">
        <v>46296</v>
      </c>
      <c r="I27" s="7">
        <v>2440</v>
      </c>
      <c r="J27" s="7">
        <v>1717</v>
      </c>
      <c r="K27" s="7">
        <v>723</v>
      </c>
      <c r="L27" s="6">
        <f t="shared" si="0"/>
        <v>0.29631147540983604</v>
      </c>
      <c r="M27" s="5">
        <f t="shared" si="1"/>
        <v>1.4396368053204834E-2</v>
      </c>
      <c r="N27" s="9"/>
    </row>
    <row r="28" spans="5:14" x14ac:dyDescent="0.3">
      <c r="E28" s="9">
        <v>33350</v>
      </c>
      <c r="F28" s="32" t="s">
        <v>439</v>
      </c>
      <c r="G28" s="9" t="s">
        <v>12</v>
      </c>
      <c r="H28" s="8">
        <v>46294</v>
      </c>
      <c r="I28" s="7">
        <v>5250</v>
      </c>
      <c r="J28" s="7">
        <v>4596</v>
      </c>
      <c r="K28" s="7">
        <v>654</v>
      </c>
      <c r="L28" s="6">
        <f t="shared" si="0"/>
        <v>0.12457142857142857</v>
      </c>
      <c r="M28" s="5">
        <f t="shared" si="1"/>
        <v>1.3022440811612673E-2</v>
      </c>
      <c r="N28" s="9"/>
    </row>
    <row r="29" spans="5:14" x14ac:dyDescent="0.3">
      <c r="E29" s="9">
        <v>33353</v>
      </c>
      <c r="F29" s="32" t="s">
        <v>438</v>
      </c>
      <c r="G29" s="9" t="s">
        <v>12</v>
      </c>
      <c r="H29" s="8">
        <v>46295</v>
      </c>
      <c r="I29" s="7">
        <v>8400</v>
      </c>
      <c r="J29" s="7">
        <v>7747</v>
      </c>
      <c r="K29" s="7">
        <v>653</v>
      </c>
      <c r="L29" s="6">
        <f t="shared" si="0"/>
        <v>7.7738095238095245E-2</v>
      </c>
      <c r="M29" s="5">
        <f t="shared" si="1"/>
        <v>1.300252882260409E-2</v>
      </c>
      <c r="N29" s="9"/>
    </row>
    <row r="30" spans="5:14" x14ac:dyDescent="0.3">
      <c r="E30" s="9">
        <v>33114</v>
      </c>
      <c r="F30" s="32" t="s">
        <v>397</v>
      </c>
      <c r="G30" s="9" t="s">
        <v>12</v>
      </c>
      <c r="H30" s="8">
        <v>46294</v>
      </c>
      <c r="I30" s="7">
        <v>20000</v>
      </c>
      <c r="J30" s="7">
        <v>19350</v>
      </c>
      <c r="K30" s="7">
        <v>650</v>
      </c>
      <c r="L30" s="6">
        <f t="shared" si="0"/>
        <v>3.2500000000000001E-2</v>
      </c>
      <c r="M30" s="5">
        <f t="shared" si="1"/>
        <v>1.2942792855578344E-2</v>
      </c>
      <c r="N30" s="9"/>
    </row>
    <row r="31" spans="5:14" x14ac:dyDescent="0.3">
      <c r="E31" s="9">
        <v>32973</v>
      </c>
      <c r="F31" s="32" t="s">
        <v>250</v>
      </c>
      <c r="G31" s="9" t="s">
        <v>176</v>
      </c>
      <c r="H31" s="8">
        <v>46296</v>
      </c>
      <c r="I31" s="7">
        <v>16000</v>
      </c>
      <c r="J31" s="7">
        <v>15360</v>
      </c>
      <c r="K31" s="7">
        <v>640</v>
      </c>
      <c r="L31" s="6">
        <f t="shared" si="0"/>
        <v>0.04</v>
      </c>
      <c r="M31" s="5">
        <f t="shared" si="1"/>
        <v>1.2743672965492524E-2</v>
      </c>
      <c r="N31" s="9"/>
    </row>
    <row r="32" spans="5:14" x14ac:dyDescent="0.3">
      <c r="E32" s="9">
        <v>33401</v>
      </c>
      <c r="F32" s="32" t="s">
        <v>437</v>
      </c>
      <c r="G32" s="9" t="s">
        <v>436</v>
      </c>
      <c r="H32" s="8">
        <v>46297</v>
      </c>
      <c r="I32" s="7">
        <v>2000</v>
      </c>
      <c r="J32" s="7">
        <v>1372</v>
      </c>
      <c r="K32" s="7">
        <v>628</v>
      </c>
      <c r="L32" s="6">
        <f t="shared" si="0"/>
        <v>0.314</v>
      </c>
      <c r="M32" s="5">
        <f t="shared" si="1"/>
        <v>1.2504729097389538E-2</v>
      </c>
      <c r="N32" s="9"/>
    </row>
    <row r="33" spans="5:14" x14ac:dyDescent="0.3">
      <c r="E33" s="9">
        <v>33356</v>
      </c>
      <c r="F33" s="32" t="s">
        <v>435</v>
      </c>
      <c r="G33" s="9" t="s">
        <v>434</v>
      </c>
      <c r="H33" s="8">
        <v>46294</v>
      </c>
      <c r="I33" s="7">
        <v>6300</v>
      </c>
      <c r="J33" s="7">
        <v>5740</v>
      </c>
      <c r="K33" s="7">
        <v>560</v>
      </c>
      <c r="L33" s="6">
        <f t="shared" si="0"/>
        <v>8.8888888888888892E-2</v>
      </c>
      <c r="M33" s="5">
        <f t="shared" si="1"/>
        <v>1.1150713844805957E-2</v>
      </c>
      <c r="N33" s="9"/>
    </row>
    <row r="34" spans="5:14" x14ac:dyDescent="0.3">
      <c r="E34" s="9">
        <v>32974</v>
      </c>
      <c r="F34" s="32" t="s">
        <v>250</v>
      </c>
      <c r="G34" s="9" t="s">
        <v>176</v>
      </c>
      <c r="H34" s="8">
        <v>46294</v>
      </c>
      <c r="I34" s="7">
        <v>16000</v>
      </c>
      <c r="J34" s="7">
        <v>15462</v>
      </c>
      <c r="K34" s="7">
        <v>538</v>
      </c>
      <c r="L34" s="6">
        <f t="shared" ref="L34:L65" si="2">K34/I34</f>
        <v>3.3625000000000002E-2</v>
      </c>
      <c r="M34" s="5">
        <f t="shared" ref="M34:M65" si="3">K34/$B$8</f>
        <v>1.0712650086617152E-2</v>
      </c>
      <c r="N34" s="9"/>
    </row>
    <row r="35" spans="5:14" x14ac:dyDescent="0.3">
      <c r="E35" s="9">
        <v>33332</v>
      </c>
      <c r="F35" s="32" t="s">
        <v>174</v>
      </c>
      <c r="G35" s="9" t="s">
        <v>71</v>
      </c>
      <c r="H35" s="8">
        <v>46294</v>
      </c>
      <c r="I35" s="7">
        <v>20000</v>
      </c>
      <c r="J35" s="7">
        <v>19550</v>
      </c>
      <c r="K35" s="7">
        <v>450</v>
      </c>
      <c r="L35" s="6">
        <f t="shared" si="2"/>
        <v>2.2499999999999999E-2</v>
      </c>
      <c r="M35" s="5">
        <f t="shared" si="3"/>
        <v>8.96039505386193E-3</v>
      </c>
      <c r="N35" s="9"/>
    </row>
    <row r="36" spans="5:14" x14ac:dyDescent="0.3">
      <c r="E36" s="9">
        <v>33349</v>
      </c>
      <c r="F36" s="32" t="s">
        <v>433</v>
      </c>
      <c r="G36" s="9" t="s">
        <v>12</v>
      </c>
      <c r="H36" s="8">
        <v>46295</v>
      </c>
      <c r="I36" s="7">
        <v>8400</v>
      </c>
      <c r="J36" s="7">
        <v>7956</v>
      </c>
      <c r="K36" s="7">
        <v>444</v>
      </c>
      <c r="L36" s="6">
        <f t="shared" si="2"/>
        <v>5.2857142857142859E-2</v>
      </c>
      <c r="M36" s="5">
        <f t="shared" si="3"/>
        <v>8.8409231198104381E-3</v>
      </c>
      <c r="N36" s="9"/>
    </row>
    <row r="37" spans="5:14" x14ac:dyDescent="0.3">
      <c r="E37" s="9">
        <v>33228</v>
      </c>
      <c r="F37" s="32" t="s">
        <v>432</v>
      </c>
      <c r="G37" s="9" t="s">
        <v>22</v>
      </c>
      <c r="H37" s="8">
        <v>46294</v>
      </c>
      <c r="I37" s="7">
        <v>4200</v>
      </c>
      <c r="J37" s="7">
        <v>3776</v>
      </c>
      <c r="K37" s="7">
        <v>424</v>
      </c>
      <c r="L37" s="6">
        <f t="shared" si="2"/>
        <v>0.10095238095238095</v>
      </c>
      <c r="M37" s="5">
        <f t="shared" si="3"/>
        <v>8.4426833396387957E-3</v>
      </c>
      <c r="N37" s="9"/>
    </row>
    <row r="38" spans="5:14" x14ac:dyDescent="0.3">
      <c r="E38" s="9">
        <v>33364</v>
      </c>
      <c r="F38" s="32" t="s">
        <v>431</v>
      </c>
      <c r="G38" s="9" t="s">
        <v>408</v>
      </c>
      <c r="H38" s="8">
        <v>46293</v>
      </c>
      <c r="I38" s="7">
        <v>3600</v>
      </c>
      <c r="J38" s="7">
        <v>3293</v>
      </c>
      <c r="K38" s="7">
        <v>307</v>
      </c>
      <c r="L38" s="6">
        <f t="shared" si="2"/>
        <v>8.5277777777777772E-2</v>
      </c>
      <c r="M38" s="5">
        <f t="shared" si="3"/>
        <v>6.1129806256346947E-3</v>
      </c>
      <c r="N38" s="9"/>
    </row>
    <row r="39" spans="5:14" x14ac:dyDescent="0.3">
      <c r="E39" s="9">
        <v>33341</v>
      </c>
      <c r="F39" s="32" t="s">
        <v>430</v>
      </c>
      <c r="G39" s="9" t="s">
        <v>12</v>
      </c>
      <c r="H39" s="8">
        <v>46293</v>
      </c>
      <c r="I39" s="7">
        <v>10500</v>
      </c>
      <c r="J39" s="7">
        <v>10223</v>
      </c>
      <c r="K39" s="7">
        <v>277</v>
      </c>
      <c r="L39" s="6">
        <f t="shared" si="2"/>
        <v>2.638095238095238E-2</v>
      </c>
      <c r="M39" s="5">
        <f t="shared" si="3"/>
        <v>5.5156209553772328E-3</v>
      </c>
      <c r="N39" s="9"/>
    </row>
    <row r="40" spans="5:14" x14ac:dyDescent="0.3">
      <c r="E40" s="9">
        <v>33342</v>
      </c>
      <c r="F40" s="32" t="s">
        <v>430</v>
      </c>
      <c r="G40" s="9" t="s">
        <v>12</v>
      </c>
      <c r="H40" s="8">
        <v>46295</v>
      </c>
      <c r="I40" s="7">
        <v>8400</v>
      </c>
      <c r="J40" s="7">
        <v>8154</v>
      </c>
      <c r="K40" s="7">
        <v>246</v>
      </c>
      <c r="L40" s="6">
        <f t="shared" si="2"/>
        <v>2.9285714285714286E-2</v>
      </c>
      <c r="M40" s="5">
        <f t="shared" si="3"/>
        <v>4.8983492961111883E-3</v>
      </c>
      <c r="N40" s="9"/>
    </row>
    <row r="41" spans="5:14" x14ac:dyDescent="0.3">
      <c r="E41" s="9">
        <v>33436</v>
      </c>
      <c r="F41" s="32" t="s">
        <v>418</v>
      </c>
      <c r="G41" s="9" t="s">
        <v>30</v>
      </c>
      <c r="H41" s="8">
        <v>46296</v>
      </c>
      <c r="I41" s="7">
        <v>2120</v>
      </c>
      <c r="J41" s="7">
        <v>1902</v>
      </c>
      <c r="K41" s="7">
        <v>218</v>
      </c>
      <c r="L41" s="6">
        <f t="shared" si="2"/>
        <v>0.10283018867924529</v>
      </c>
      <c r="M41" s="5">
        <f t="shared" si="3"/>
        <v>4.3408136038708906E-3</v>
      </c>
      <c r="N41" s="9"/>
    </row>
    <row r="42" spans="5:14" x14ac:dyDescent="0.3">
      <c r="E42" s="9">
        <v>33446</v>
      </c>
      <c r="F42" s="9" t="s">
        <v>402</v>
      </c>
      <c r="G42" s="9" t="s">
        <v>401</v>
      </c>
      <c r="H42" s="8">
        <v>46297</v>
      </c>
      <c r="I42" s="7">
        <v>7200</v>
      </c>
      <c r="J42" s="7">
        <v>7018</v>
      </c>
      <c r="K42" s="7">
        <v>182</v>
      </c>
      <c r="L42" s="6">
        <f t="shared" si="2"/>
        <v>2.5277777777777777E-2</v>
      </c>
      <c r="M42" s="5">
        <f t="shared" si="3"/>
        <v>3.6239819995619363E-3</v>
      </c>
      <c r="N42" s="9"/>
    </row>
    <row r="43" spans="5:14" x14ac:dyDescent="0.3">
      <c r="E43" s="9">
        <v>33343</v>
      </c>
      <c r="F43" s="9" t="s">
        <v>430</v>
      </c>
      <c r="G43" s="9" t="s">
        <v>12</v>
      </c>
      <c r="H43" s="8">
        <v>46295</v>
      </c>
      <c r="I43" s="7">
        <v>8400</v>
      </c>
      <c r="J43" s="7">
        <v>8221</v>
      </c>
      <c r="K43" s="7">
        <v>179</v>
      </c>
      <c r="L43" s="6">
        <f t="shared" si="2"/>
        <v>2.1309523809523809E-2</v>
      </c>
      <c r="M43" s="5">
        <f t="shared" si="3"/>
        <v>3.56424603253619E-3</v>
      </c>
      <c r="N43" s="9"/>
    </row>
    <row r="44" spans="5:14" x14ac:dyDescent="0.3">
      <c r="E44" s="9">
        <v>33397</v>
      </c>
      <c r="F44" s="9" t="s">
        <v>429</v>
      </c>
      <c r="G44" s="9" t="s">
        <v>2</v>
      </c>
      <c r="H44" s="8">
        <v>46293</v>
      </c>
      <c r="I44" s="7">
        <v>3600</v>
      </c>
      <c r="J44" s="7">
        <v>3421</v>
      </c>
      <c r="K44" s="7">
        <v>179</v>
      </c>
      <c r="L44" s="6">
        <f t="shared" si="2"/>
        <v>4.9722222222222223E-2</v>
      </c>
      <c r="M44" s="5">
        <f t="shared" si="3"/>
        <v>3.56424603253619E-3</v>
      </c>
      <c r="N44" s="9"/>
    </row>
    <row r="45" spans="5:14" x14ac:dyDescent="0.3">
      <c r="E45" s="9">
        <v>33257</v>
      </c>
      <c r="F45" s="9" t="s">
        <v>428</v>
      </c>
      <c r="G45" s="9" t="s">
        <v>30</v>
      </c>
      <c r="H45" s="8">
        <v>46293</v>
      </c>
      <c r="I45" s="7">
        <v>5700</v>
      </c>
      <c r="J45" s="7">
        <v>5544</v>
      </c>
      <c r="K45" s="7">
        <v>156</v>
      </c>
      <c r="L45" s="6">
        <f t="shared" si="2"/>
        <v>2.736842105263158E-2</v>
      </c>
      <c r="M45" s="5">
        <f t="shared" si="3"/>
        <v>3.1062702853388025E-3</v>
      </c>
      <c r="N45" s="9"/>
    </row>
    <row r="46" spans="5:14" x14ac:dyDescent="0.3">
      <c r="E46" s="9">
        <v>33421</v>
      </c>
      <c r="F46" s="9" t="s">
        <v>404</v>
      </c>
      <c r="G46" s="9" t="s">
        <v>403</v>
      </c>
      <c r="H46" s="8">
        <v>46296</v>
      </c>
      <c r="I46" s="7">
        <v>10000</v>
      </c>
      <c r="J46" s="7">
        <v>9850</v>
      </c>
      <c r="K46" s="7">
        <v>150</v>
      </c>
      <c r="L46" s="6">
        <f t="shared" si="2"/>
        <v>1.4999999999999999E-2</v>
      </c>
      <c r="M46" s="5">
        <f t="shared" si="3"/>
        <v>2.9867983512873101E-3</v>
      </c>
      <c r="N46" s="9"/>
    </row>
    <row r="47" spans="5:14" x14ac:dyDescent="0.3">
      <c r="E47" s="9">
        <v>33256</v>
      </c>
      <c r="F47" s="9" t="s">
        <v>428</v>
      </c>
      <c r="G47" s="9" t="s">
        <v>30</v>
      </c>
      <c r="H47" s="8">
        <v>46294</v>
      </c>
      <c r="I47" s="7">
        <v>5700</v>
      </c>
      <c r="J47" s="7">
        <v>5559</v>
      </c>
      <c r="K47" s="7">
        <v>141</v>
      </c>
      <c r="L47" s="6">
        <f t="shared" si="2"/>
        <v>2.4736842105263158E-2</v>
      </c>
      <c r="M47" s="5">
        <f t="shared" si="3"/>
        <v>2.8075904502100715E-3</v>
      </c>
      <c r="N47" s="9"/>
    </row>
    <row r="48" spans="5:14" x14ac:dyDescent="0.3">
      <c r="E48" s="9">
        <v>33424</v>
      </c>
      <c r="F48" s="9" t="s">
        <v>404</v>
      </c>
      <c r="G48" s="9" t="s">
        <v>403</v>
      </c>
      <c r="H48" s="8">
        <v>46296</v>
      </c>
      <c r="I48" s="7">
        <v>1000</v>
      </c>
      <c r="J48" s="7">
        <v>869</v>
      </c>
      <c r="K48" s="7">
        <v>131</v>
      </c>
      <c r="L48" s="6">
        <f t="shared" si="2"/>
        <v>0.13100000000000001</v>
      </c>
      <c r="M48" s="5">
        <f t="shared" si="3"/>
        <v>2.6084705601242507E-3</v>
      </c>
      <c r="N48" s="9"/>
    </row>
    <row r="49" spans="5:14" x14ac:dyDescent="0.3">
      <c r="E49" s="9">
        <v>33296</v>
      </c>
      <c r="F49" s="9" t="s">
        <v>427</v>
      </c>
      <c r="G49" s="9" t="s">
        <v>30</v>
      </c>
      <c r="H49" s="8">
        <v>46293</v>
      </c>
      <c r="I49" s="7">
        <v>5500</v>
      </c>
      <c r="J49" s="7">
        <v>5370</v>
      </c>
      <c r="K49" s="7">
        <v>130</v>
      </c>
      <c r="L49" s="6">
        <f t="shared" si="2"/>
        <v>2.3636363636363636E-2</v>
      </c>
      <c r="M49" s="5">
        <f t="shared" si="3"/>
        <v>2.5885585711156686E-3</v>
      </c>
      <c r="N49" s="9"/>
    </row>
    <row r="50" spans="5:14" x14ac:dyDescent="0.3">
      <c r="E50" s="9">
        <v>33272</v>
      </c>
      <c r="F50" s="9" t="s">
        <v>418</v>
      </c>
      <c r="G50" s="9" t="s">
        <v>30</v>
      </c>
      <c r="H50" s="8">
        <v>46294</v>
      </c>
      <c r="I50" s="7">
        <v>6400</v>
      </c>
      <c r="J50" s="7">
        <v>6283</v>
      </c>
      <c r="K50" s="7">
        <v>117</v>
      </c>
      <c r="L50" s="6">
        <f t="shared" si="2"/>
        <v>1.8281249999999999E-2</v>
      </c>
      <c r="M50" s="5">
        <f t="shared" si="3"/>
        <v>2.3297027140041018E-3</v>
      </c>
      <c r="N50" s="9"/>
    </row>
    <row r="51" spans="5:14" x14ac:dyDescent="0.3">
      <c r="E51" s="9">
        <v>33370</v>
      </c>
      <c r="F51" s="9" t="s">
        <v>426</v>
      </c>
      <c r="G51" s="9" t="s">
        <v>12</v>
      </c>
      <c r="H51" s="8">
        <v>46294</v>
      </c>
      <c r="I51" s="7">
        <v>2100</v>
      </c>
      <c r="J51" s="7">
        <v>2000</v>
      </c>
      <c r="K51" s="7">
        <v>100</v>
      </c>
      <c r="L51" s="6">
        <f t="shared" si="2"/>
        <v>4.7619047619047616E-2</v>
      </c>
      <c r="M51" s="5">
        <f t="shared" si="3"/>
        <v>1.9911989008582066E-3</v>
      </c>
      <c r="N51" s="9"/>
    </row>
    <row r="52" spans="5:14" x14ac:dyDescent="0.3">
      <c r="E52" s="9">
        <v>33400</v>
      </c>
      <c r="F52" s="9" t="s">
        <v>404</v>
      </c>
      <c r="G52" s="9" t="s">
        <v>403</v>
      </c>
      <c r="H52" s="8">
        <v>46296</v>
      </c>
      <c r="I52" s="7">
        <v>17000</v>
      </c>
      <c r="J52" s="7">
        <v>16900</v>
      </c>
      <c r="K52" s="7">
        <v>100</v>
      </c>
      <c r="L52" s="6">
        <f t="shared" si="2"/>
        <v>5.8823529411764705E-3</v>
      </c>
      <c r="M52" s="5">
        <f t="shared" si="3"/>
        <v>1.9911989008582066E-3</v>
      </c>
      <c r="N52" s="9"/>
    </row>
    <row r="53" spans="5:14" x14ac:dyDescent="0.3">
      <c r="E53" s="9">
        <v>33413</v>
      </c>
      <c r="F53" s="9" t="s">
        <v>425</v>
      </c>
      <c r="G53" s="9" t="s">
        <v>424</v>
      </c>
      <c r="H53" s="8">
        <v>46296</v>
      </c>
      <c r="I53" s="7">
        <v>2100</v>
      </c>
      <c r="J53" s="7">
        <v>2010</v>
      </c>
      <c r="K53" s="7">
        <v>90</v>
      </c>
      <c r="L53" s="6">
        <f t="shared" si="2"/>
        <v>4.2857142857142858E-2</v>
      </c>
      <c r="M53" s="5">
        <f t="shared" si="3"/>
        <v>1.792079010772386E-3</v>
      </c>
      <c r="N53" s="9"/>
    </row>
    <row r="54" spans="5:14" x14ac:dyDescent="0.3">
      <c r="E54" s="9">
        <v>33323</v>
      </c>
      <c r="F54" s="9" t="s">
        <v>423</v>
      </c>
      <c r="G54" s="9" t="s">
        <v>71</v>
      </c>
      <c r="H54" s="8">
        <v>46294</v>
      </c>
      <c r="I54" s="7">
        <v>6000</v>
      </c>
      <c r="J54" s="7">
        <v>5920</v>
      </c>
      <c r="K54" s="7">
        <v>80</v>
      </c>
      <c r="L54" s="6">
        <f t="shared" si="2"/>
        <v>1.3333333333333334E-2</v>
      </c>
      <c r="M54" s="5">
        <f t="shared" si="3"/>
        <v>1.5929591206865655E-3</v>
      </c>
      <c r="N54" s="9"/>
    </row>
    <row r="55" spans="5:14" x14ac:dyDescent="0.3">
      <c r="E55" s="9">
        <v>33429</v>
      </c>
      <c r="F55" s="9" t="s">
        <v>422</v>
      </c>
      <c r="G55" s="9" t="s">
        <v>421</v>
      </c>
      <c r="H55" s="8">
        <v>46296</v>
      </c>
      <c r="I55" s="7">
        <v>5400</v>
      </c>
      <c r="J55" s="7">
        <v>5321</v>
      </c>
      <c r="K55" s="7">
        <v>79</v>
      </c>
      <c r="L55" s="6">
        <f t="shared" si="2"/>
        <v>1.462962962962963E-2</v>
      </c>
      <c r="M55" s="5">
        <f t="shared" si="3"/>
        <v>1.5730471316779833E-3</v>
      </c>
      <c r="N55" s="9"/>
    </row>
    <row r="56" spans="5:14" x14ac:dyDescent="0.3">
      <c r="E56" s="9">
        <v>33415</v>
      </c>
      <c r="F56" s="9" t="s">
        <v>420</v>
      </c>
      <c r="G56" s="9" t="s">
        <v>222</v>
      </c>
      <c r="H56" s="8">
        <v>46295</v>
      </c>
      <c r="I56" s="7">
        <v>1900</v>
      </c>
      <c r="J56" s="7">
        <v>1832</v>
      </c>
      <c r="K56" s="7">
        <v>68</v>
      </c>
      <c r="L56" s="6">
        <f t="shared" si="2"/>
        <v>3.5789473684210524E-2</v>
      </c>
      <c r="M56" s="5">
        <f t="shared" si="3"/>
        <v>1.3540152525835806E-3</v>
      </c>
      <c r="N56" s="9"/>
    </row>
    <row r="57" spans="5:14" x14ac:dyDescent="0.3">
      <c r="E57" s="9">
        <v>33447</v>
      </c>
      <c r="F57" s="9" t="s">
        <v>402</v>
      </c>
      <c r="G57" s="9" t="s">
        <v>401</v>
      </c>
      <c r="H57" s="8">
        <v>46297</v>
      </c>
      <c r="I57" s="7">
        <v>7200</v>
      </c>
      <c r="J57" s="7">
        <v>7132</v>
      </c>
      <c r="K57" s="7">
        <v>68</v>
      </c>
      <c r="L57" s="6">
        <f t="shared" si="2"/>
        <v>9.4444444444444445E-3</v>
      </c>
      <c r="M57" s="5">
        <f t="shared" si="3"/>
        <v>1.3540152525835806E-3</v>
      </c>
      <c r="N57" s="9"/>
    </row>
    <row r="58" spans="5:14" x14ac:dyDescent="0.3">
      <c r="E58" s="9">
        <v>33417</v>
      </c>
      <c r="F58" s="9" t="s">
        <v>419</v>
      </c>
      <c r="G58" s="9" t="s">
        <v>408</v>
      </c>
      <c r="H58" s="8">
        <v>46295</v>
      </c>
      <c r="I58" s="7">
        <v>2200</v>
      </c>
      <c r="J58" s="7">
        <v>2136</v>
      </c>
      <c r="K58" s="7">
        <v>64</v>
      </c>
      <c r="L58" s="6">
        <f t="shared" si="2"/>
        <v>2.9090909090909091E-2</v>
      </c>
      <c r="M58" s="5">
        <f t="shared" si="3"/>
        <v>1.2743672965492524E-3</v>
      </c>
      <c r="N58" s="9"/>
    </row>
    <row r="59" spans="5:14" x14ac:dyDescent="0.3">
      <c r="E59" s="9">
        <v>33435</v>
      </c>
      <c r="F59" s="9" t="s">
        <v>300</v>
      </c>
      <c r="G59" s="9" t="s">
        <v>12</v>
      </c>
      <c r="H59" s="8">
        <v>46296</v>
      </c>
      <c r="I59" s="7">
        <v>3000</v>
      </c>
      <c r="J59" s="7">
        <v>2940</v>
      </c>
      <c r="K59" s="7">
        <v>60</v>
      </c>
      <c r="L59" s="6">
        <f t="shared" si="2"/>
        <v>0.02</v>
      </c>
      <c r="M59" s="5">
        <f t="shared" si="3"/>
        <v>1.1947193405149241E-3</v>
      </c>
      <c r="N59" s="9"/>
    </row>
    <row r="60" spans="5:14" x14ac:dyDescent="0.3">
      <c r="E60" s="9">
        <v>33336</v>
      </c>
      <c r="F60" s="9" t="s">
        <v>407</v>
      </c>
      <c r="G60" s="9" t="s">
        <v>271</v>
      </c>
      <c r="H60" s="8">
        <v>46296</v>
      </c>
      <c r="I60" s="7">
        <v>7000</v>
      </c>
      <c r="J60" s="7">
        <v>6943</v>
      </c>
      <c r="K60" s="7">
        <v>57</v>
      </c>
      <c r="L60" s="6">
        <f t="shared" si="2"/>
        <v>8.1428571428571427E-3</v>
      </c>
      <c r="M60" s="5">
        <f t="shared" si="3"/>
        <v>1.1349833734891777E-3</v>
      </c>
      <c r="N60" s="9"/>
    </row>
    <row r="61" spans="5:14" x14ac:dyDescent="0.3">
      <c r="E61" s="9">
        <v>33271</v>
      </c>
      <c r="F61" s="9" t="s">
        <v>418</v>
      </c>
      <c r="G61" s="9" t="s">
        <v>30</v>
      </c>
      <c r="H61" s="8">
        <v>46294</v>
      </c>
      <c r="I61" s="7">
        <v>6390</v>
      </c>
      <c r="J61" s="7">
        <v>6334</v>
      </c>
      <c r="K61" s="7">
        <v>56</v>
      </c>
      <c r="L61" s="6">
        <f t="shared" si="2"/>
        <v>8.7636932707355238E-3</v>
      </c>
      <c r="M61" s="5">
        <f t="shared" si="3"/>
        <v>1.1150713844805958E-3</v>
      </c>
      <c r="N61" s="9"/>
    </row>
    <row r="62" spans="5:14" x14ac:dyDescent="0.3">
      <c r="E62" s="9">
        <v>33365</v>
      </c>
      <c r="F62" s="9" t="s">
        <v>416</v>
      </c>
      <c r="G62" s="9" t="s">
        <v>408</v>
      </c>
      <c r="H62" s="8">
        <v>46293</v>
      </c>
      <c r="I62" s="7">
        <v>1800</v>
      </c>
      <c r="J62" s="7">
        <v>1744</v>
      </c>
      <c r="K62" s="7">
        <v>56</v>
      </c>
      <c r="L62" s="6">
        <f t="shared" si="2"/>
        <v>3.111111111111111E-2</v>
      </c>
      <c r="M62" s="5">
        <f t="shared" si="3"/>
        <v>1.1150713844805958E-3</v>
      </c>
      <c r="N62" s="9"/>
    </row>
    <row r="63" spans="5:14" x14ac:dyDescent="0.3">
      <c r="E63" s="9">
        <v>33432</v>
      </c>
      <c r="F63" s="9" t="s">
        <v>417</v>
      </c>
      <c r="G63" s="9" t="s">
        <v>7</v>
      </c>
      <c r="H63" s="8">
        <v>46296</v>
      </c>
      <c r="I63" s="7">
        <v>4000</v>
      </c>
      <c r="J63" s="7">
        <v>3953</v>
      </c>
      <c r="K63" s="7">
        <v>47</v>
      </c>
      <c r="L63" s="6">
        <f t="shared" si="2"/>
        <v>1.175E-2</v>
      </c>
      <c r="M63" s="5">
        <f t="shared" si="3"/>
        <v>9.3586348340335716E-4</v>
      </c>
      <c r="N63" s="9"/>
    </row>
    <row r="64" spans="5:14" x14ac:dyDescent="0.3">
      <c r="E64" s="9">
        <v>33419</v>
      </c>
      <c r="F64" s="9" t="s">
        <v>416</v>
      </c>
      <c r="G64" s="9" t="s">
        <v>408</v>
      </c>
      <c r="H64" s="8">
        <v>46295</v>
      </c>
      <c r="I64" s="7">
        <v>1800</v>
      </c>
      <c r="J64" s="7">
        <v>1755</v>
      </c>
      <c r="K64" s="7">
        <v>45</v>
      </c>
      <c r="L64" s="6">
        <f t="shared" si="2"/>
        <v>2.5000000000000001E-2</v>
      </c>
      <c r="M64" s="5">
        <f t="shared" si="3"/>
        <v>8.9603950538619302E-4</v>
      </c>
      <c r="N64" s="9"/>
    </row>
    <row r="65" spans="5:14" x14ac:dyDescent="0.3">
      <c r="E65" s="9">
        <v>33359</v>
      </c>
      <c r="F65" s="9" t="s">
        <v>415</v>
      </c>
      <c r="G65" s="9" t="s">
        <v>414</v>
      </c>
      <c r="H65" s="8">
        <v>46294</v>
      </c>
      <c r="I65" s="7">
        <v>2100</v>
      </c>
      <c r="J65" s="7">
        <v>2059</v>
      </c>
      <c r="K65" s="7">
        <v>41</v>
      </c>
      <c r="L65" s="6">
        <f t="shared" si="2"/>
        <v>1.9523809523809523E-2</v>
      </c>
      <c r="M65" s="5">
        <f t="shared" si="3"/>
        <v>8.1639154935186475E-4</v>
      </c>
      <c r="N65" s="9"/>
    </row>
    <row r="66" spans="5:14" x14ac:dyDescent="0.3">
      <c r="E66" s="9">
        <v>33418</v>
      </c>
      <c r="F66" s="9" t="s">
        <v>413</v>
      </c>
      <c r="G66" s="9" t="s">
        <v>260</v>
      </c>
      <c r="H66" s="8">
        <v>46295</v>
      </c>
      <c r="I66" s="7">
        <v>2200</v>
      </c>
      <c r="J66" s="7">
        <v>2160</v>
      </c>
      <c r="K66" s="7">
        <v>40</v>
      </c>
      <c r="L66" s="6">
        <f t="shared" ref="L66:L86" si="4">K66/I66</f>
        <v>1.8181818181818181E-2</v>
      </c>
      <c r="M66" s="5">
        <f t="shared" ref="M66:M86" si="5">K66/$B$8</f>
        <v>7.9647956034328274E-4</v>
      </c>
      <c r="N66" s="9"/>
    </row>
    <row r="67" spans="5:14" x14ac:dyDescent="0.3">
      <c r="E67" s="9">
        <v>33449</v>
      </c>
      <c r="F67" s="9" t="s">
        <v>402</v>
      </c>
      <c r="G67" s="9" t="s">
        <v>401</v>
      </c>
      <c r="H67" s="8">
        <v>46297</v>
      </c>
      <c r="I67" s="7">
        <v>3600</v>
      </c>
      <c r="J67" s="7">
        <v>3560</v>
      </c>
      <c r="K67" s="7">
        <v>40</v>
      </c>
      <c r="L67" s="6">
        <f t="shared" si="4"/>
        <v>1.1111111111111112E-2</v>
      </c>
      <c r="M67" s="5">
        <f t="shared" si="5"/>
        <v>7.9647956034328274E-4</v>
      </c>
      <c r="N67" s="9"/>
    </row>
    <row r="68" spans="5:14" x14ac:dyDescent="0.3">
      <c r="E68" s="9">
        <v>33475</v>
      </c>
      <c r="F68" s="9" t="s">
        <v>404</v>
      </c>
      <c r="G68" s="9" t="s">
        <v>403</v>
      </c>
      <c r="H68" s="8">
        <v>46297</v>
      </c>
      <c r="I68" s="7">
        <v>3000</v>
      </c>
      <c r="J68" s="7">
        <v>2960</v>
      </c>
      <c r="K68" s="7">
        <v>40</v>
      </c>
      <c r="L68" s="6">
        <f t="shared" si="4"/>
        <v>1.3333333333333334E-2</v>
      </c>
      <c r="M68" s="5">
        <f t="shared" si="5"/>
        <v>7.9647956034328274E-4</v>
      </c>
      <c r="N68" s="9"/>
    </row>
    <row r="69" spans="5:14" x14ac:dyDescent="0.3">
      <c r="E69" s="9">
        <v>33414</v>
      </c>
      <c r="F69" s="9" t="s">
        <v>412</v>
      </c>
      <c r="G69" s="9" t="s">
        <v>222</v>
      </c>
      <c r="H69" s="8">
        <v>46295</v>
      </c>
      <c r="I69" s="7">
        <v>1900</v>
      </c>
      <c r="J69" s="7">
        <v>1873</v>
      </c>
      <c r="K69" s="7">
        <v>27</v>
      </c>
      <c r="L69" s="6">
        <f t="shared" si="4"/>
        <v>1.4210526315789474E-2</v>
      </c>
      <c r="M69" s="5">
        <f t="shared" si="5"/>
        <v>5.3762370323171579E-4</v>
      </c>
      <c r="N69" s="9"/>
    </row>
    <row r="70" spans="5:14" x14ac:dyDescent="0.3">
      <c r="E70" s="9">
        <v>33412</v>
      </c>
      <c r="F70" s="9" t="s">
        <v>411</v>
      </c>
      <c r="G70" s="9" t="s">
        <v>410</v>
      </c>
      <c r="H70" s="8">
        <v>46295</v>
      </c>
      <c r="I70" s="7">
        <v>800</v>
      </c>
      <c r="J70" s="7">
        <v>775</v>
      </c>
      <c r="K70" s="7">
        <v>25</v>
      </c>
      <c r="L70" s="6">
        <f t="shared" si="4"/>
        <v>3.125E-2</v>
      </c>
      <c r="M70" s="5">
        <f t="shared" si="5"/>
        <v>4.9779972521455166E-4</v>
      </c>
      <c r="N70" s="9"/>
    </row>
    <row r="71" spans="5:14" x14ac:dyDescent="0.3">
      <c r="E71" s="9">
        <v>33416</v>
      </c>
      <c r="F71" s="9" t="s">
        <v>409</v>
      </c>
      <c r="G71" s="9" t="s">
        <v>408</v>
      </c>
      <c r="H71" s="8">
        <v>46296</v>
      </c>
      <c r="I71" s="7">
        <v>2200</v>
      </c>
      <c r="J71" s="7">
        <v>2175</v>
      </c>
      <c r="K71" s="7">
        <v>25</v>
      </c>
      <c r="L71" s="6">
        <f t="shared" si="4"/>
        <v>1.1363636363636364E-2</v>
      </c>
      <c r="M71" s="5">
        <f t="shared" si="5"/>
        <v>4.9779972521455166E-4</v>
      </c>
      <c r="N71" s="9"/>
    </row>
    <row r="72" spans="5:14" x14ac:dyDescent="0.3">
      <c r="E72" s="9">
        <v>33335</v>
      </c>
      <c r="F72" s="9" t="s">
        <v>407</v>
      </c>
      <c r="G72" s="9" t="s">
        <v>271</v>
      </c>
      <c r="H72" s="8">
        <v>46295</v>
      </c>
      <c r="I72" s="7">
        <v>7000</v>
      </c>
      <c r="J72" s="7">
        <v>6977</v>
      </c>
      <c r="K72" s="7">
        <v>23</v>
      </c>
      <c r="L72" s="6">
        <f t="shared" si="4"/>
        <v>3.2857142857142859E-3</v>
      </c>
      <c r="M72" s="5">
        <f t="shared" si="5"/>
        <v>4.5797574719738757E-4</v>
      </c>
      <c r="N72" s="9"/>
    </row>
    <row r="73" spans="5:14" x14ac:dyDescent="0.3">
      <c r="E73" s="9">
        <v>33426</v>
      </c>
      <c r="F73" s="9" t="s">
        <v>409</v>
      </c>
      <c r="G73" s="9" t="s">
        <v>408</v>
      </c>
      <c r="H73" s="8">
        <v>46295</v>
      </c>
      <c r="I73" s="7">
        <v>2200</v>
      </c>
      <c r="J73" s="7">
        <v>2177</v>
      </c>
      <c r="K73" s="7">
        <v>23</v>
      </c>
      <c r="L73" s="6">
        <f t="shared" si="4"/>
        <v>1.0454545454545454E-2</v>
      </c>
      <c r="M73" s="5">
        <f t="shared" si="5"/>
        <v>4.5797574719738757E-4</v>
      </c>
      <c r="N73" s="9"/>
    </row>
    <row r="74" spans="5:14" x14ac:dyDescent="0.3">
      <c r="E74" s="9">
        <v>33425</v>
      </c>
      <c r="F74" s="9" t="s">
        <v>404</v>
      </c>
      <c r="G74" s="9" t="s">
        <v>403</v>
      </c>
      <c r="H74" s="8">
        <v>46296</v>
      </c>
      <c r="I74" s="7">
        <v>1000</v>
      </c>
      <c r="J74" s="7">
        <v>985</v>
      </c>
      <c r="K74" s="7">
        <v>15</v>
      </c>
      <c r="L74" s="6">
        <f t="shared" si="4"/>
        <v>1.4999999999999999E-2</v>
      </c>
      <c r="M74" s="5">
        <f t="shared" si="5"/>
        <v>2.9867983512873103E-4</v>
      </c>
      <c r="N74" s="9"/>
    </row>
    <row r="75" spans="5:14" x14ac:dyDescent="0.3">
      <c r="E75" s="9">
        <v>33399</v>
      </c>
      <c r="F75" s="9" t="s">
        <v>374</v>
      </c>
      <c r="G75" s="9" t="s">
        <v>372</v>
      </c>
      <c r="H75" s="8">
        <v>46294</v>
      </c>
      <c r="I75" s="7">
        <v>10900</v>
      </c>
      <c r="J75" s="7">
        <v>10890</v>
      </c>
      <c r="K75" s="7">
        <v>10</v>
      </c>
      <c r="L75" s="6">
        <f t="shared" si="4"/>
        <v>9.1743119266055051E-4</v>
      </c>
      <c r="M75" s="5">
        <f t="shared" si="5"/>
        <v>1.9911989008582068E-4</v>
      </c>
      <c r="N75" s="9"/>
    </row>
    <row r="76" spans="5:14" x14ac:dyDescent="0.3">
      <c r="E76" s="9">
        <v>33423</v>
      </c>
      <c r="F76" s="9" t="s">
        <v>404</v>
      </c>
      <c r="G76" s="9" t="s">
        <v>403</v>
      </c>
      <c r="H76" s="8">
        <v>46296</v>
      </c>
      <c r="I76" s="7">
        <v>1000</v>
      </c>
      <c r="J76" s="7">
        <v>996</v>
      </c>
      <c r="K76" s="7">
        <v>4</v>
      </c>
      <c r="L76" s="6">
        <f t="shared" si="4"/>
        <v>4.0000000000000001E-3</v>
      </c>
      <c r="M76" s="5">
        <f t="shared" si="5"/>
        <v>7.9647956034328274E-5</v>
      </c>
      <c r="N76" s="9"/>
    </row>
    <row r="77" spans="5:14" x14ac:dyDescent="0.3">
      <c r="E77" s="9">
        <v>33298</v>
      </c>
      <c r="F77" s="9" t="s">
        <v>190</v>
      </c>
      <c r="G77" s="9" t="s">
        <v>2</v>
      </c>
      <c r="H77" s="8">
        <v>46297</v>
      </c>
      <c r="I77" s="7">
        <v>10800</v>
      </c>
      <c r="J77" s="7">
        <v>10800</v>
      </c>
      <c r="K77" s="7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33309</v>
      </c>
      <c r="F78" s="9" t="s">
        <v>375</v>
      </c>
      <c r="G78" s="9" t="s">
        <v>372</v>
      </c>
      <c r="H78" s="8">
        <v>46294</v>
      </c>
      <c r="I78" s="7">
        <v>20000</v>
      </c>
      <c r="J78" s="7">
        <v>20045</v>
      </c>
      <c r="K78" s="7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33310</v>
      </c>
      <c r="F79" s="9" t="s">
        <v>374</v>
      </c>
      <c r="G79" s="9" t="s">
        <v>372</v>
      </c>
      <c r="H79" s="8">
        <v>46295</v>
      </c>
      <c r="I79" s="7">
        <v>22000</v>
      </c>
      <c r="J79" s="7">
        <v>22000</v>
      </c>
      <c r="K79" s="7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33320</v>
      </c>
      <c r="F80" s="9" t="s">
        <v>300</v>
      </c>
      <c r="G80" s="9" t="s">
        <v>12</v>
      </c>
      <c r="H80" s="8">
        <v>46296</v>
      </c>
      <c r="I80" s="7">
        <v>3000</v>
      </c>
      <c r="J80" s="7">
        <v>3040</v>
      </c>
      <c r="K80" s="7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33337</v>
      </c>
      <c r="F81" s="9" t="s">
        <v>407</v>
      </c>
      <c r="G81" s="9" t="s">
        <v>271</v>
      </c>
      <c r="H81" s="8">
        <v>46296</v>
      </c>
      <c r="I81" s="7">
        <v>7000</v>
      </c>
      <c r="J81" s="7">
        <v>7095</v>
      </c>
      <c r="K81" s="7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33338</v>
      </c>
      <c r="F82" s="9" t="s">
        <v>407</v>
      </c>
      <c r="G82" s="9" t="s">
        <v>271</v>
      </c>
      <c r="H82" s="8">
        <v>46295</v>
      </c>
      <c r="I82" s="7">
        <v>3500</v>
      </c>
      <c r="J82" s="7">
        <v>3533</v>
      </c>
      <c r="K82" s="7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33409</v>
      </c>
      <c r="F83" s="9" t="s">
        <v>343</v>
      </c>
      <c r="G83" s="9" t="s">
        <v>2</v>
      </c>
      <c r="H83" s="8">
        <v>46295</v>
      </c>
      <c r="I83" s="7">
        <v>1600</v>
      </c>
      <c r="J83" s="7">
        <v>1600</v>
      </c>
      <c r="K83" s="7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33420</v>
      </c>
      <c r="F84" s="9" t="s">
        <v>406</v>
      </c>
      <c r="G84" s="9" t="s">
        <v>405</v>
      </c>
      <c r="H84" s="8">
        <v>46295</v>
      </c>
      <c r="I84" s="7">
        <v>10500</v>
      </c>
      <c r="J84" s="7">
        <v>10525</v>
      </c>
      <c r="K84" s="7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33422</v>
      </c>
      <c r="F85" s="9" t="s">
        <v>404</v>
      </c>
      <c r="G85" s="9" t="s">
        <v>403</v>
      </c>
      <c r="H85" s="8">
        <v>46296</v>
      </c>
      <c r="I85" s="7">
        <v>6000</v>
      </c>
      <c r="J85" s="7">
        <v>6000</v>
      </c>
      <c r="K85" s="7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33448</v>
      </c>
      <c r="F86" s="9" t="s">
        <v>402</v>
      </c>
      <c r="G86" s="9" t="s">
        <v>401</v>
      </c>
      <c r="H86" s="8">
        <v>46297</v>
      </c>
      <c r="I86" s="7">
        <v>7200</v>
      </c>
      <c r="J86" s="7">
        <v>7275</v>
      </c>
      <c r="K86" s="7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I87"/>
      <c r="J87"/>
      <c r="K87"/>
      <c r="L87"/>
    </row>
    <row r="88" spans="5:14" x14ac:dyDescent="0.3">
      <c r="I88"/>
      <c r="J88"/>
      <c r="K88"/>
      <c r="L88"/>
    </row>
    <row r="89" spans="5:14" x14ac:dyDescent="0.3">
      <c r="I89"/>
      <c r="J89"/>
      <c r="K89"/>
      <c r="L89"/>
    </row>
    <row r="90" spans="5:14" x14ac:dyDescent="0.3">
      <c r="I90"/>
      <c r="J90"/>
      <c r="K90"/>
      <c r="L90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2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B9275-DB2E-429E-B718-5D95613B29A6}">
  <sheetPr>
    <tabColor rgb="FFFF0000"/>
    <pageSetUpPr fitToPage="1"/>
  </sheetPr>
  <dimension ref="A1:M66"/>
  <sheetViews>
    <sheetView tabSelected="1" zoomScaleNormal="100" workbookViewId="0">
      <selection activeCell="F20" sqref="F2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46298</v>
      </c>
      <c r="C2" s="4"/>
      <c r="E2" s="9">
        <v>33175</v>
      </c>
      <c r="F2" s="32" t="s">
        <v>479</v>
      </c>
      <c r="G2" s="9" t="s">
        <v>12</v>
      </c>
      <c r="H2" s="8">
        <v>46302</v>
      </c>
      <c r="I2" s="7">
        <v>12000</v>
      </c>
      <c r="J2" s="7">
        <v>9050</v>
      </c>
      <c r="K2" s="7">
        <v>2950</v>
      </c>
      <c r="L2" s="6">
        <f t="shared" ref="L2:L33" si="0">K2/I2</f>
        <v>0.24583333333333332</v>
      </c>
      <c r="M2" s="5">
        <f t="shared" ref="M2:M33" si="1">K2/$B$8</f>
        <v>8.2681689509235129E-2</v>
      </c>
    </row>
    <row r="3" spans="1:13" x14ac:dyDescent="0.3">
      <c r="A3" s="15" t="s">
        <v>107</v>
      </c>
      <c r="B3" s="8">
        <v>46304</v>
      </c>
      <c r="C3" s="4"/>
      <c r="E3" s="9">
        <v>33325</v>
      </c>
      <c r="F3" s="32" t="s">
        <v>444</v>
      </c>
      <c r="G3" s="9" t="s">
        <v>12</v>
      </c>
      <c r="H3" s="8">
        <v>46300</v>
      </c>
      <c r="I3" s="7">
        <v>20000</v>
      </c>
      <c r="J3" s="7">
        <v>17150</v>
      </c>
      <c r="K3" s="7">
        <v>2850</v>
      </c>
      <c r="L3" s="6">
        <f t="shared" si="0"/>
        <v>0.14249999999999999</v>
      </c>
      <c r="M3" s="5">
        <f t="shared" si="1"/>
        <v>7.9878920373328846E-2</v>
      </c>
    </row>
    <row r="4" spans="1:13" x14ac:dyDescent="0.3">
      <c r="E4" s="9">
        <v>33236</v>
      </c>
      <c r="F4" s="32" t="s">
        <v>484</v>
      </c>
      <c r="G4" s="9" t="s">
        <v>12</v>
      </c>
      <c r="H4" s="8">
        <v>46304</v>
      </c>
      <c r="I4" s="7">
        <v>9800</v>
      </c>
      <c r="J4" s="7">
        <v>7460</v>
      </c>
      <c r="K4" s="7">
        <v>2340</v>
      </c>
      <c r="L4" s="6">
        <f t="shared" si="0"/>
        <v>0.23877551020408164</v>
      </c>
      <c r="M4" s="5">
        <f t="shared" si="1"/>
        <v>6.5584797780206844E-2</v>
      </c>
    </row>
    <row r="5" spans="1:13" x14ac:dyDescent="0.3">
      <c r="A5" s="15" t="s">
        <v>105</v>
      </c>
      <c r="B5" s="9">
        <f>SUBTOTAL(3,E2:E1048576)</f>
        <v>65</v>
      </c>
      <c r="E5" s="9">
        <v>33466</v>
      </c>
      <c r="F5" s="32" t="s">
        <v>483</v>
      </c>
      <c r="G5" s="9" t="s">
        <v>12</v>
      </c>
      <c r="H5" s="8">
        <v>46302</v>
      </c>
      <c r="I5" s="7">
        <v>8000</v>
      </c>
      <c r="J5" s="7">
        <v>5937</v>
      </c>
      <c r="K5" s="7">
        <v>2063</v>
      </c>
      <c r="L5" s="6">
        <f t="shared" si="0"/>
        <v>0.25787500000000002</v>
      </c>
      <c r="M5" s="5">
        <f t="shared" si="1"/>
        <v>5.7821127273746463E-2</v>
      </c>
    </row>
    <row r="6" spans="1:13" x14ac:dyDescent="0.3">
      <c r="A6" s="15" t="s">
        <v>103</v>
      </c>
      <c r="B6" s="20">
        <f>SUBTOTAL(9,I:I)</f>
        <v>538341</v>
      </c>
      <c r="C6" s="28"/>
      <c r="E6" s="9">
        <v>33438</v>
      </c>
      <c r="F6" s="32" t="s">
        <v>482</v>
      </c>
      <c r="G6" s="9" t="s">
        <v>12</v>
      </c>
      <c r="H6" s="8">
        <v>46303</v>
      </c>
      <c r="I6" s="7">
        <v>10000</v>
      </c>
      <c r="J6" s="7">
        <v>7997</v>
      </c>
      <c r="K6" s="7">
        <v>2003</v>
      </c>
      <c r="L6" s="6">
        <f t="shared" si="0"/>
        <v>0.20030000000000001</v>
      </c>
      <c r="M6" s="5">
        <f t="shared" si="1"/>
        <v>5.6139465792202699E-2</v>
      </c>
    </row>
    <row r="7" spans="1:13" x14ac:dyDescent="0.3">
      <c r="A7" s="15" t="s">
        <v>101</v>
      </c>
      <c r="B7" s="20">
        <f>SUBTOTAL(9,J:J)</f>
        <v>505223</v>
      </c>
      <c r="C7" s="28"/>
      <c r="E7" s="9">
        <v>33178</v>
      </c>
      <c r="F7" s="32" t="s">
        <v>481</v>
      </c>
      <c r="G7" s="9" t="s">
        <v>12</v>
      </c>
      <c r="H7" s="8">
        <v>46301</v>
      </c>
      <c r="I7" s="7">
        <v>15000</v>
      </c>
      <c r="J7" s="7">
        <v>13150</v>
      </c>
      <c r="K7" s="7">
        <v>1850</v>
      </c>
      <c r="L7" s="6">
        <f t="shared" si="0"/>
        <v>0.12333333333333334</v>
      </c>
      <c r="M7" s="5">
        <f t="shared" si="1"/>
        <v>5.1851229014266094E-2</v>
      </c>
    </row>
    <row r="8" spans="1:13" x14ac:dyDescent="0.3">
      <c r="A8" s="15" t="s">
        <v>99</v>
      </c>
      <c r="B8" s="20">
        <f>SUBTOTAL(9,K:K)</f>
        <v>35679</v>
      </c>
      <c r="C8" s="28"/>
      <c r="E8" s="9">
        <v>33176</v>
      </c>
      <c r="F8" s="32" t="s">
        <v>479</v>
      </c>
      <c r="G8" s="9" t="s">
        <v>12</v>
      </c>
      <c r="H8" s="8">
        <v>46302</v>
      </c>
      <c r="I8" s="7">
        <v>12000</v>
      </c>
      <c r="J8" s="7">
        <v>10200</v>
      </c>
      <c r="K8" s="7">
        <v>1800</v>
      </c>
      <c r="L8" s="6">
        <f t="shared" si="0"/>
        <v>0.15</v>
      </c>
      <c r="M8" s="5">
        <f t="shared" si="1"/>
        <v>5.0449844446312959E-2</v>
      </c>
    </row>
    <row r="9" spans="1:13" x14ac:dyDescent="0.3">
      <c r="A9" s="15" t="s">
        <v>98</v>
      </c>
      <c r="B9" s="18">
        <f>B8/B6</f>
        <v>6.6275836319358919E-2</v>
      </c>
      <c r="C9" s="52"/>
      <c r="E9" s="9">
        <v>33369</v>
      </c>
      <c r="F9" s="32" t="s">
        <v>478</v>
      </c>
      <c r="G9" s="9" t="s">
        <v>12</v>
      </c>
      <c r="H9" s="8">
        <v>46304</v>
      </c>
      <c r="I9" s="7">
        <v>14400</v>
      </c>
      <c r="J9" s="7">
        <v>12720</v>
      </c>
      <c r="K9" s="7">
        <v>1680</v>
      </c>
      <c r="L9" s="6">
        <f t="shared" si="0"/>
        <v>0.11666666666666667</v>
      </c>
      <c r="M9" s="5">
        <f t="shared" si="1"/>
        <v>4.7086521483225424E-2</v>
      </c>
    </row>
    <row r="10" spans="1:13" x14ac:dyDescent="0.3">
      <c r="A10" s="15" t="s">
        <v>96</v>
      </c>
      <c r="B10" s="9">
        <f>COUNTIF(L:L,"&gt;=5%")</f>
        <v>24</v>
      </c>
      <c r="E10" s="9">
        <v>33403</v>
      </c>
      <c r="F10" s="32" t="s">
        <v>480</v>
      </c>
      <c r="G10" s="9" t="s">
        <v>348</v>
      </c>
      <c r="H10" s="8">
        <v>46302</v>
      </c>
      <c r="I10" s="7">
        <v>5250</v>
      </c>
      <c r="J10" s="7">
        <v>3693</v>
      </c>
      <c r="K10" s="7">
        <v>1557</v>
      </c>
      <c r="L10" s="6">
        <f t="shared" si="0"/>
        <v>0.2965714285714286</v>
      </c>
      <c r="M10" s="5">
        <f t="shared" si="1"/>
        <v>4.3639115446060708E-2</v>
      </c>
    </row>
    <row r="11" spans="1:13" x14ac:dyDescent="0.3">
      <c r="A11" s="15" t="s">
        <v>95</v>
      </c>
      <c r="B11" s="48">
        <f>B10/B5</f>
        <v>0.36923076923076925</v>
      </c>
      <c r="C11" s="51"/>
      <c r="E11" s="9">
        <v>32884</v>
      </c>
      <c r="F11" s="32" t="s">
        <v>269</v>
      </c>
      <c r="G11" s="9" t="s">
        <v>79</v>
      </c>
      <c r="H11" s="8">
        <v>46301</v>
      </c>
      <c r="I11" s="7">
        <v>11416</v>
      </c>
      <c r="J11" s="7">
        <v>10000</v>
      </c>
      <c r="K11" s="7">
        <v>1416</v>
      </c>
      <c r="L11" s="6">
        <f t="shared" si="0"/>
        <v>0.12403644008409251</v>
      </c>
      <c r="M11" s="5">
        <f t="shared" si="1"/>
        <v>3.9687210964432861E-2</v>
      </c>
    </row>
    <row r="12" spans="1:13" x14ac:dyDescent="0.3">
      <c r="E12" s="9">
        <v>33368</v>
      </c>
      <c r="F12" s="32" t="s">
        <v>478</v>
      </c>
      <c r="G12" s="9" t="s">
        <v>12</v>
      </c>
      <c r="H12" s="8">
        <v>46303</v>
      </c>
      <c r="I12" s="7">
        <v>14400</v>
      </c>
      <c r="J12" s="7">
        <v>13150</v>
      </c>
      <c r="K12" s="7">
        <v>1250</v>
      </c>
      <c r="L12" s="6">
        <f t="shared" si="0"/>
        <v>8.6805555555555552E-2</v>
      </c>
      <c r="M12" s="5">
        <f t="shared" si="1"/>
        <v>3.5034614198828445E-2</v>
      </c>
    </row>
    <row r="13" spans="1:13" x14ac:dyDescent="0.3">
      <c r="E13" s="9">
        <v>33408</v>
      </c>
      <c r="F13" s="32" t="s">
        <v>474</v>
      </c>
      <c r="G13" s="9" t="s">
        <v>313</v>
      </c>
      <c r="H13" s="8">
        <v>46303</v>
      </c>
      <c r="I13" s="7">
        <v>12000</v>
      </c>
      <c r="J13" s="7">
        <v>10850</v>
      </c>
      <c r="K13" s="7">
        <v>1150</v>
      </c>
      <c r="L13" s="6">
        <f t="shared" si="0"/>
        <v>9.583333333333334E-2</v>
      </c>
      <c r="M13" s="5">
        <f t="shared" si="1"/>
        <v>3.2231845062922169E-2</v>
      </c>
    </row>
    <row r="14" spans="1:13" x14ac:dyDescent="0.3">
      <c r="A14" s="26" t="s">
        <v>398</v>
      </c>
      <c r="B14" s="27">
        <f>B8-'[1]05-10'!B8</f>
        <v>-14542</v>
      </c>
      <c r="C14" s="50"/>
      <c r="E14" s="9">
        <v>33334</v>
      </c>
      <c r="F14" s="32" t="s">
        <v>174</v>
      </c>
      <c r="G14" s="9" t="s">
        <v>71</v>
      </c>
      <c r="H14" s="8">
        <v>46303</v>
      </c>
      <c r="I14" s="7">
        <v>18000</v>
      </c>
      <c r="J14" s="7">
        <v>17000</v>
      </c>
      <c r="K14" s="7">
        <v>1000</v>
      </c>
      <c r="L14" s="6">
        <f t="shared" si="0"/>
        <v>5.5555555555555552E-2</v>
      </c>
      <c r="M14" s="5">
        <f t="shared" si="1"/>
        <v>2.8027691359062756E-2</v>
      </c>
    </row>
    <row r="15" spans="1:13" x14ac:dyDescent="0.3">
      <c r="A15" s="26" t="s">
        <v>398</v>
      </c>
      <c r="B15" s="25">
        <f>B9-'[1]05-10'!B9</f>
        <v>6.2747030628702849E-4</v>
      </c>
      <c r="C15" s="49"/>
      <c r="E15" s="9">
        <v>33177</v>
      </c>
      <c r="F15" s="32" t="s">
        <v>479</v>
      </c>
      <c r="G15" s="9" t="s">
        <v>12</v>
      </c>
      <c r="H15" s="8">
        <v>46302</v>
      </c>
      <c r="I15" s="7">
        <v>10000</v>
      </c>
      <c r="J15" s="7">
        <v>9150</v>
      </c>
      <c r="K15" s="7">
        <v>850</v>
      </c>
      <c r="L15" s="6">
        <f t="shared" si="0"/>
        <v>8.5000000000000006E-2</v>
      </c>
      <c r="M15" s="5">
        <f t="shared" si="1"/>
        <v>2.3823537655203342E-2</v>
      </c>
    </row>
    <row r="16" spans="1:13" x14ac:dyDescent="0.3">
      <c r="E16" s="9">
        <v>33234</v>
      </c>
      <c r="F16" s="32" t="s">
        <v>478</v>
      </c>
      <c r="G16" s="9" t="s">
        <v>12</v>
      </c>
      <c r="H16" s="8">
        <v>46303</v>
      </c>
      <c r="I16" s="7">
        <v>14400</v>
      </c>
      <c r="J16" s="7">
        <v>13586</v>
      </c>
      <c r="K16" s="7">
        <v>814</v>
      </c>
      <c r="L16" s="6">
        <f t="shared" si="0"/>
        <v>5.6527777777777781E-2</v>
      </c>
      <c r="M16" s="5">
        <f t="shared" si="1"/>
        <v>2.2814540766277081E-2</v>
      </c>
    </row>
    <row r="17" spans="5:13" x14ac:dyDescent="0.3">
      <c r="E17" s="9">
        <v>33402</v>
      </c>
      <c r="F17" s="32" t="s">
        <v>477</v>
      </c>
      <c r="G17" s="9" t="s">
        <v>22</v>
      </c>
      <c r="H17" s="8">
        <v>46302</v>
      </c>
      <c r="I17" s="20">
        <v>4000</v>
      </c>
      <c r="J17" s="20">
        <v>3200</v>
      </c>
      <c r="K17" s="20">
        <v>800</v>
      </c>
      <c r="L17" s="6">
        <f t="shared" si="0"/>
        <v>0.2</v>
      </c>
      <c r="M17" s="5">
        <f t="shared" si="1"/>
        <v>2.2422153087250204E-2</v>
      </c>
    </row>
    <row r="18" spans="5:13" x14ac:dyDescent="0.3">
      <c r="E18" s="9">
        <v>33471</v>
      </c>
      <c r="F18" s="32" t="s">
        <v>473</v>
      </c>
      <c r="G18" s="9" t="s">
        <v>12</v>
      </c>
      <c r="H18" s="8">
        <v>46302</v>
      </c>
      <c r="I18" s="20">
        <v>6300</v>
      </c>
      <c r="J18" s="20">
        <v>5579</v>
      </c>
      <c r="K18" s="20">
        <v>721</v>
      </c>
      <c r="L18" s="6">
        <f t="shared" si="0"/>
        <v>0.11444444444444445</v>
      </c>
      <c r="M18" s="5">
        <f t="shared" si="1"/>
        <v>2.0207965469884244E-2</v>
      </c>
    </row>
    <row r="19" spans="5:13" x14ac:dyDescent="0.3">
      <c r="E19" s="9">
        <v>33224</v>
      </c>
      <c r="F19" s="32" t="s">
        <v>476</v>
      </c>
      <c r="G19" s="9" t="s">
        <v>206</v>
      </c>
      <c r="H19" s="8">
        <v>46302</v>
      </c>
      <c r="I19" s="7">
        <v>6600</v>
      </c>
      <c r="J19" s="7">
        <v>5896</v>
      </c>
      <c r="K19" s="7">
        <v>704</v>
      </c>
      <c r="L19" s="6">
        <f t="shared" si="0"/>
        <v>0.10666666666666667</v>
      </c>
      <c r="M19" s="5">
        <f t="shared" si="1"/>
        <v>1.9731494716780179E-2</v>
      </c>
    </row>
    <row r="20" spans="5:13" x14ac:dyDescent="0.3">
      <c r="E20" s="9">
        <v>33407</v>
      </c>
      <c r="F20" s="32" t="s">
        <v>475</v>
      </c>
      <c r="G20" s="9" t="s">
        <v>313</v>
      </c>
      <c r="H20" s="8">
        <v>46304</v>
      </c>
      <c r="I20" s="20">
        <v>22000</v>
      </c>
      <c r="J20" s="20">
        <v>21300</v>
      </c>
      <c r="K20" s="20">
        <v>700</v>
      </c>
      <c r="L20" s="6">
        <f t="shared" si="0"/>
        <v>3.1818181818181815E-2</v>
      </c>
      <c r="M20" s="5">
        <f t="shared" si="1"/>
        <v>1.9619383951343928E-2</v>
      </c>
    </row>
    <row r="21" spans="5:13" x14ac:dyDescent="0.3">
      <c r="E21" s="9">
        <v>33314</v>
      </c>
      <c r="F21" s="32" t="s">
        <v>472</v>
      </c>
      <c r="G21" s="9" t="s">
        <v>12</v>
      </c>
      <c r="H21" s="8">
        <v>46302</v>
      </c>
      <c r="I21" s="7">
        <v>8400</v>
      </c>
      <c r="J21" s="7">
        <v>7776</v>
      </c>
      <c r="K21" s="7">
        <v>624</v>
      </c>
      <c r="L21" s="6">
        <f t="shared" si="0"/>
        <v>7.4285714285714288E-2</v>
      </c>
      <c r="M21" s="5">
        <f t="shared" si="1"/>
        <v>1.7489279408055159E-2</v>
      </c>
    </row>
    <row r="22" spans="5:13" x14ac:dyDescent="0.3">
      <c r="E22" s="9">
        <v>33411</v>
      </c>
      <c r="F22" s="32" t="s">
        <v>267</v>
      </c>
      <c r="G22" s="9" t="s">
        <v>2</v>
      </c>
      <c r="H22" s="8">
        <v>46301</v>
      </c>
      <c r="I22" s="7">
        <v>8000</v>
      </c>
      <c r="J22" s="7">
        <v>7488</v>
      </c>
      <c r="K22" s="7">
        <v>512</v>
      </c>
      <c r="L22" s="6">
        <f t="shared" si="0"/>
        <v>6.4000000000000001E-2</v>
      </c>
      <c r="M22" s="5">
        <f t="shared" si="1"/>
        <v>1.435017797584013E-2</v>
      </c>
    </row>
    <row r="23" spans="5:13" x14ac:dyDescent="0.3">
      <c r="E23" s="9">
        <v>33333</v>
      </c>
      <c r="F23" s="32" t="s">
        <v>174</v>
      </c>
      <c r="G23" s="9" t="s">
        <v>71</v>
      </c>
      <c r="H23" s="8">
        <v>46303</v>
      </c>
      <c r="I23" s="7">
        <v>20000</v>
      </c>
      <c r="J23" s="7">
        <v>19500</v>
      </c>
      <c r="K23" s="7">
        <v>500</v>
      </c>
      <c r="L23" s="6">
        <f t="shared" si="0"/>
        <v>2.5000000000000001E-2</v>
      </c>
      <c r="M23" s="5">
        <f t="shared" si="1"/>
        <v>1.4013845679531378E-2</v>
      </c>
    </row>
    <row r="24" spans="5:13" x14ac:dyDescent="0.3">
      <c r="E24" s="9">
        <v>33427</v>
      </c>
      <c r="F24" s="32" t="s">
        <v>474</v>
      </c>
      <c r="G24" s="9" t="s">
        <v>313</v>
      </c>
      <c r="H24" s="8">
        <v>46303</v>
      </c>
      <c r="I24" s="7">
        <v>10000</v>
      </c>
      <c r="J24" s="7">
        <v>9550</v>
      </c>
      <c r="K24" s="7">
        <v>450</v>
      </c>
      <c r="L24" s="6">
        <f t="shared" si="0"/>
        <v>4.4999999999999998E-2</v>
      </c>
      <c r="M24" s="5">
        <f t="shared" si="1"/>
        <v>1.261246111157824E-2</v>
      </c>
    </row>
    <row r="25" spans="5:13" x14ac:dyDescent="0.3">
      <c r="E25" s="9">
        <v>33315</v>
      </c>
      <c r="F25" s="32" t="s">
        <v>472</v>
      </c>
      <c r="G25" s="9" t="s">
        <v>12</v>
      </c>
      <c r="H25" s="8">
        <v>46302</v>
      </c>
      <c r="I25" s="7">
        <v>8400</v>
      </c>
      <c r="J25" s="7">
        <v>7954</v>
      </c>
      <c r="K25" s="7">
        <v>446</v>
      </c>
      <c r="L25" s="6">
        <f t="shared" si="0"/>
        <v>5.3095238095238098E-2</v>
      </c>
      <c r="M25" s="5">
        <f t="shared" si="1"/>
        <v>1.2500350346141989E-2</v>
      </c>
    </row>
    <row r="26" spans="5:13" x14ac:dyDescent="0.3">
      <c r="E26" s="9">
        <v>33469</v>
      </c>
      <c r="F26" s="32" t="s">
        <v>473</v>
      </c>
      <c r="G26" s="9" t="s">
        <v>12</v>
      </c>
      <c r="H26" s="8">
        <v>46302</v>
      </c>
      <c r="I26" s="7">
        <v>8400</v>
      </c>
      <c r="J26" s="7">
        <v>7956</v>
      </c>
      <c r="K26" s="7">
        <v>444</v>
      </c>
      <c r="L26" s="6">
        <f t="shared" si="0"/>
        <v>5.2857142857142859E-2</v>
      </c>
      <c r="M26" s="5">
        <f t="shared" si="1"/>
        <v>1.2444294963423863E-2</v>
      </c>
    </row>
    <row r="27" spans="5:13" x14ac:dyDescent="0.3">
      <c r="E27" s="9">
        <v>33450</v>
      </c>
      <c r="F27" s="32" t="s">
        <v>469</v>
      </c>
      <c r="G27" s="9" t="s">
        <v>14</v>
      </c>
      <c r="H27" s="8">
        <v>46301</v>
      </c>
      <c r="I27" s="7">
        <v>7600</v>
      </c>
      <c r="J27" s="7">
        <v>7201</v>
      </c>
      <c r="K27" s="7">
        <v>399</v>
      </c>
      <c r="L27" s="6">
        <f t="shared" si="0"/>
        <v>5.2499999999999998E-2</v>
      </c>
      <c r="M27" s="5">
        <f t="shared" si="1"/>
        <v>1.1183048852266038E-2</v>
      </c>
    </row>
    <row r="28" spans="5:13" x14ac:dyDescent="0.3">
      <c r="E28" s="9">
        <v>33312</v>
      </c>
      <c r="F28" s="32" t="s">
        <v>472</v>
      </c>
      <c r="G28" s="9" t="s">
        <v>12</v>
      </c>
      <c r="H28" s="8">
        <v>46301</v>
      </c>
      <c r="I28" s="7">
        <v>8400</v>
      </c>
      <c r="J28" s="7">
        <v>8002</v>
      </c>
      <c r="K28" s="7">
        <v>398</v>
      </c>
      <c r="L28" s="6">
        <f t="shared" si="0"/>
        <v>4.7380952380952378E-2</v>
      </c>
      <c r="M28" s="5">
        <f t="shared" si="1"/>
        <v>1.1155021160906976E-2</v>
      </c>
    </row>
    <row r="29" spans="5:13" x14ac:dyDescent="0.3">
      <c r="E29" s="9">
        <v>33459</v>
      </c>
      <c r="F29" s="32" t="s">
        <v>385</v>
      </c>
      <c r="G29" s="9" t="s">
        <v>12</v>
      </c>
      <c r="H29" s="8">
        <v>46304</v>
      </c>
      <c r="I29" s="7">
        <v>29375</v>
      </c>
      <c r="J29" s="7">
        <v>29075</v>
      </c>
      <c r="K29" s="7">
        <v>300</v>
      </c>
      <c r="L29" s="6">
        <f t="shared" si="0"/>
        <v>1.0212765957446808E-2</v>
      </c>
      <c r="M29" s="5">
        <f t="shared" si="1"/>
        <v>8.408307407718826E-3</v>
      </c>
    </row>
    <row r="30" spans="5:13" x14ac:dyDescent="0.3">
      <c r="E30" s="9">
        <v>33465</v>
      </c>
      <c r="F30" s="32" t="s">
        <v>455</v>
      </c>
      <c r="G30" s="9" t="s">
        <v>12</v>
      </c>
      <c r="H30" s="8">
        <v>46302</v>
      </c>
      <c r="I30" s="7">
        <v>12000</v>
      </c>
      <c r="J30" s="7">
        <v>11719</v>
      </c>
      <c r="K30" s="7">
        <v>281</v>
      </c>
      <c r="L30" s="6">
        <f t="shared" si="0"/>
        <v>2.3416666666666665E-2</v>
      </c>
      <c r="M30" s="5">
        <f t="shared" si="1"/>
        <v>7.8757812718966338E-3</v>
      </c>
    </row>
    <row r="31" spans="5:13" x14ac:dyDescent="0.3">
      <c r="E31" s="9">
        <v>33313</v>
      </c>
      <c r="F31" s="32" t="s">
        <v>472</v>
      </c>
      <c r="G31" s="9" t="s">
        <v>12</v>
      </c>
      <c r="H31" s="8">
        <v>46301</v>
      </c>
      <c r="I31" s="20">
        <v>8400</v>
      </c>
      <c r="J31" s="20">
        <v>8146</v>
      </c>
      <c r="K31" s="20">
        <v>254</v>
      </c>
      <c r="L31" s="6">
        <f t="shared" si="0"/>
        <v>3.0238095238095238E-2</v>
      </c>
      <c r="M31" s="5">
        <f t="shared" si="1"/>
        <v>7.1190336052019392E-3</v>
      </c>
    </row>
    <row r="32" spans="5:13" x14ac:dyDescent="0.3">
      <c r="E32" s="9">
        <v>33468</v>
      </c>
      <c r="F32" s="32" t="s">
        <v>430</v>
      </c>
      <c r="G32" s="9" t="s">
        <v>12</v>
      </c>
      <c r="H32" s="8">
        <v>46301</v>
      </c>
      <c r="I32" s="7">
        <v>8400</v>
      </c>
      <c r="J32" s="7">
        <v>8190</v>
      </c>
      <c r="K32" s="7">
        <v>210</v>
      </c>
      <c r="L32" s="6">
        <f t="shared" si="0"/>
        <v>2.5000000000000001E-2</v>
      </c>
      <c r="M32" s="5">
        <f t="shared" si="1"/>
        <v>5.885815185403178E-3</v>
      </c>
    </row>
    <row r="33" spans="5:13" x14ac:dyDescent="0.3">
      <c r="E33" s="9">
        <v>33470</v>
      </c>
      <c r="F33" s="32" t="s">
        <v>430</v>
      </c>
      <c r="G33" s="9" t="s">
        <v>12</v>
      </c>
      <c r="H33" s="8">
        <v>46302</v>
      </c>
      <c r="I33" s="20">
        <v>6300</v>
      </c>
      <c r="J33" s="20">
        <v>6095</v>
      </c>
      <c r="K33" s="20">
        <v>205</v>
      </c>
      <c r="L33" s="6">
        <f t="shared" si="0"/>
        <v>3.2539682539682542E-2</v>
      </c>
      <c r="M33" s="5">
        <f t="shared" si="1"/>
        <v>5.7456767286078649E-3</v>
      </c>
    </row>
    <row r="34" spans="5:13" x14ac:dyDescent="0.3">
      <c r="E34" s="9">
        <v>33505</v>
      </c>
      <c r="F34" s="32" t="s">
        <v>471</v>
      </c>
      <c r="G34" s="9" t="s">
        <v>71</v>
      </c>
      <c r="H34" s="8">
        <v>46304</v>
      </c>
      <c r="I34" s="20">
        <v>4000</v>
      </c>
      <c r="J34" s="20">
        <v>3818</v>
      </c>
      <c r="K34" s="20">
        <v>182</v>
      </c>
      <c r="L34" s="6">
        <f t="shared" ref="L34:L65" si="2">K34/I34</f>
        <v>4.5499999999999999E-2</v>
      </c>
      <c r="M34" s="5">
        <f t="shared" ref="M34:M66" si="3">K34/$B$8</f>
        <v>5.1010398273494215E-3</v>
      </c>
    </row>
    <row r="35" spans="5:13" x14ac:dyDescent="0.3">
      <c r="E35" s="9">
        <v>33410</v>
      </c>
      <c r="F35" s="32" t="s">
        <v>324</v>
      </c>
      <c r="G35" s="9" t="s">
        <v>2</v>
      </c>
      <c r="H35" s="8">
        <v>46303</v>
      </c>
      <c r="I35" s="7">
        <v>6000</v>
      </c>
      <c r="J35" s="7">
        <v>5821</v>
      </c>
      <c r="K35" s="7">
        <v>179</v>
      </c>
      <c r="L35" s="6">
        <f t="shared" si="2"/>
        <v>2.9833333333333333E-2</v>
      </c>
      <c r="M35" s="5">
        <f t="shared" si="3"/>
        <v>5.0169567532722332E-3</v>
      </c>
    </row>
    <row r="36" spans="5:13" x14ac:dyDescent="0.3">
      <c r="E36" s="9">
        <v>33504</v>
      </c>
      <c r="F36" s="32" t="s">
        <v>471</v>
      </c>
      <c r="G36" s="9" t="s">
        <v>71</v>
      </c>
      <c r="H36" s="8">
        <v>46304</v>
      </c>
      <c r="I36" s="7">
        <v>4000</v>
      </c>
      <c r="J36" s="7">
        <v>3839</v>
      </c>
      <c r="K36" s="7">
        <v>161</v>
      </c>
      <c r="L36" s="6">
        <f t="shared" si="2"/>
        <v>4.0250000000000001E-2</v>
      </c>
      <c r="M36" s="5">
        <f t="shared" si="3"/>
        <v>4.5124583088091037E-3</v>
      </c>
    </row>
    <row r="37" spans="5:13" x14ac:dyDescent="0.3">
      <c r="E37" s="9">
        <v>33454</v>
      </c>
      <c r="F37" s="32" t="s">
        <v>455</v>
      </c>
      <c r="G37" s="9" t="s">
        <v>12</v>
      </c>
      <c r="H37" s="8">
        <v>46300</v>
      </c>
      <c r="I37" s="7">
        <v>8000</v>
      </c>
      <c r="J37" s="7">
        <v>7849</v>
      </c>
      <c r="K37" s="7">
        <v>151</v>
      </c>
      <c r="L37" s="6">
        <f t="shared" si="2"/>
        <v>1.8874999999999999E-2</v>
      </c>
      <c r="M37" s="5">
        <f t="shared" si="3"/>
        <v>4.2321813952184758E-3</v>
      </c>
    </row>
    <row r="38" spans="5:13" x14ac:dyDescent="0.3">
      <c r="E38" s="9">
        <v>33456</v>
      </c>
      <c r="F38" s="32" t="s">
        <v>470</v>
      </c>
      <c r="G38" s="9" t="s">
        <v>12</v>
      </c>
      <c r="H38" s="8">
        <v>46303</v>
      </c>
      <c r="I38" s="7">
        <v>6000</v>
      </c>
      <c r="J38" s="7">
        <v>5849</v>
      </c>
      <c r="K38" s="7">
        <v>151</v>
      </c>
      <c r="L38" s="6">
        <f t="shared" si="2"/>
        <v>2.5166666666666667E-2</v>
      </c>
      <c r="M38" s="5">
        <f t="shared" si="3"/>
        <v>4.2321813952184758E-3</v>
      </c>
    </row>
    <row r="39" spans="5:13" x14ac:dyDescent="0.3">
      <c r="E39" s="9">
        <v>33451</v>
      </c>
      <c r="F39" s="32" t="s">
        <v>469</v>
      </c>
      <c r="G39" s="9" t="s">
        <v>14</v>
      </c>
      <c r="H39" s="8">
        <v>46301</v>
      </c>
      <c r="I39" s="20">
        <v>7600</v>
      </c>
      <c r="J39" s="20">
        <v>7456</v>
      </c>
      <c r="K39" s="20">
        <v>144</v>
      </c>
      <c r="L39" s="6">
        <f t="shared" si="2"/>
        <v>1.8947368421052633E-2</v>
      </c>
      <c r="M39" s="5">
        <f t="shared" si="3"/>
        <v>4.0359875557050362E-3</v>
      </c>
    </row>
    <row r="40" spans="5:13" x14ac:dyDescent="0.3">
      <c r="E40" s="9">
        <v>33452</v>
      </c>
      <c r="F40" s="32" t="s">
        <v>469</v>
      </c>
      <c r="G40" s="9" t="s">
        <v>14</v>
      </c>
      <c r="H40" s="8">
        <v>46301</v>
      </c>
      <c r="I40" s="7">
        <v>9500</v>
      </c>
      <c r="J40" s="7">
        <v>9364</v>
      </c>
      <c r="K40" s="7">
        <v>136</v>
      </c>
      <c r="L40" s="6">
        <f t="shared" si="2"/>
        <v>1.4315789473684211E-2</v>
      </c>
      <c r="M40" s="5">
        <f t="shared" si="3"/>
        <v>3.8117660248325348E-3</v>
      </c>
    </row>
    <row r="41" spans="5:13" x14ac:dyDescent="0.3">
      <c r="E41" s="9">
        <v>33472</v>
      </c>
      <c r="F41" s="32" t="s">
        <v>468</v>
      </c>
      <c r="G41" s="9" t="s">
        <v>24</v>
      </c>
      <c r="H41" s="8">
        <v>46301</v>
      </c>
      <c r="I41" s="7">
        <v>1800</v>
      </c>
      <c r="J41" s="7">
        <v>1673</v>
      </c>
      <c r="K41" s="7">
        <v>127</v>
      </c>
      <c r="L41" s="6">
        <f t="shared" si="2"/>
        <v>7.0555555555555552E-2</v>
      </c>
      <c r="M41" s="5">
        <f t="shared" si="3"/>
        <v>3.5595168026009696E-3</v>
      </c>
    </row>
    <row r="42" spans="5:13" x14ac:dyDescent="0.3">
      <c r="E42" s="9">
        <v>33428</v>
      </c>
      <c r="F42" s="9" t="s">
        <v>467</v>
      </c>
      <c r="G42" s="9" t="s">
        <v>421</v>
      </c>
      <c r="H42" s="8">
        <v>46300</v>
      </c>
      <c r="I42" s="20">
        <v>5400</v>
      </c>
      <c r="J42" s="20">
        <v>5274</v>
      </c>
      <c r="K42" s="20">
        <v>126</v>
      </c>
      <c r="L42" s="6">
        <f t="shared" si="2"/>
        <v>2.3333333333333334E-2</v>
      </c>
      <c r="M42" s="5">
        <f t="shared" si="3"/>
        <v>3.5314891112419068E-3</v>
      </c>
    </row>
    <row r="43" spans="5:13" x14ac:dyDescent="0.3">
      <c r="E43" s="9">
        <v>33445</v>
      </c>
      <c r="F43" s="9" t="s">
        <v>466</v>
      </c>
      <c r="G43" s="9" t="s">
        <v>465</v>
      </c>
      <c r="H43" s="8">
        <v>46304</v>
      </c>
      <c r="I43" s="7">
        <v>5600</v>
      </c>
      <c r="J43" s="7">
        <v>5490</v>
      </c>
      <c r="K43" s="7">
        <v>110</v>
      </c>
      <c r="L43" s="6">
        <f t="shared" si="2"/>
        <v>1.9642857142857142E-2</v>
      </c>
      <c r="M43" s="5">
        <f t="shared" si="3"/>
        <v>3.083046049496903E-3</v>
      </c>
    </row>
    <row r="44" spans="5:13" x14ac:dyDescent="0.3">
      <c r="E44" s="9">
        <v>33246</v>
      </c>
      <c r="F44" s="9" t="s">
        <v>211</v>
      </c>
      <c r="G44" s="9" t="s">
        <v>28</v>
      </c>
      <c r="H44" s="8">
        <v>46300</v>
      </c>
      <c r="I44" s="20">
        <v>12600</v>
      </c>
      <c r="J44" s="20">
        <v>12497</v>
      </c>
      <c r="K44" s="20">
        <v>103</v>
      </c>
      <c r="L44" s="6">
        <f t="shared" si="2"/>
        <v>8.1746031746031747E-3</v>
      </c>
      <c r="M44" s="5">
        <f t="shared" si="3"/>
        <v>2.8868522099834639E-3</v>
      </c>
    </row>
    <row r="45" spans="5:13" x14ac:dyDescent="0.3">
      <c r="E45" s="9">
        <v>33480</v>
      </c>
      <c r="F45" s="9" t="s">
        <v>430</v>
      </c>
      <c r="G45" s="9" t="s">
        <v>12</v>
      </c>
      <c r="H45" s="8">
        <v>46302</v>
      </c>
      <c r="I45" s="7">
        <v>2100</v>
      </c>
      <c r="J45" s="7">
        <v>2004</v>
      </c>
      <c r="K45" s="7">
        <v>96</v>
      </c>
      <c r="L45" s="6">
        <f t="shared" si="2"/>
        <v>4.5714285714285714E-2</v>
      </c>
      <c r="M45" s="5">
        <f t="shared" si="3"/>
        <v>2.6906583704700243E-3</v>
      </c>
    </row>
    <row r="46" spans="5:13" x14ac:dyDescent="0.3">
      <c r="E46" s="9">
        <v>33430</v>
      </c>
      <c r="F46" s="9" t="s">
        <v>464</v>
      </c>
      <c r="G46" s="9" t="s">
        <v>461</v>
      </c>
      <c r="H46" s="8">
        <v>46301</v>
      </c>
      <c r="I46" s="7">
        <v>5400</v>
      </c>
      <c r="J46" s="7">
        <v>5320</v>
      </c>
      <c r="K46" s="7">
        <v>80</v>
      </c>
      <c r="L46" s="6">
        <f t="shared" si="2"/>
        <v>1.4814814814814815E-2</v>
      </c>
      <c r="M46" s="5">
        <f t="shared" si="3"/>
        <v>2.2422153087250205E-3</v>
      </c>
    </row>
    <row r="47" spans="5:13" x14ac:dyDescent="0.3">
      <c r="E47" s="9">
        <v>33474</v>
      </c>
      <c r="F47" s="9" t="s">
        <v>463</v>
      </c>
      <c r="G47" s="9" t="s">
        <v>24</v>
      </c>
      <c r="H47" s="8">
        <v>46302</v>
      </c>
      <c r="I47" s="7">
        <v>1800</v>
      </c>
      <c r="J47" s="7">
        <v>1725</v>
      </c>
      <c r="K47" s="7">
        <v>75</v>
      </c>
      <c r="L47" s="6">
        <f t="shared" si="2"/>
        <v>4.1666666666666664E-2</v>
      </c>
      <c r="M47" s="5">
        <f t="shared" si="3"/>
        <v>2.1020768519297065E-3</v>
      </c>
    </row>
    <row r="48" spans="5:13" x14ac:dyDescent="0.3">
      <c r="E48" s="9">
        <v>33477</v>
      </c>
      <c r="F48" s="9" t="s">
        <v>411</v>
      </c>
      <c r="G48" s="9" t="s">
        <v>410</v>
      </c>
      <c r="H48" s="8">
        <v>46303</v>
      </c>
      <c r="I48" s="7">
        <v>1600</v>
      </c>
      <c r="J48" s="7">
        <v>1526</v>
      </c>
      <c r="K48" s="7">
        <v>74</v>
      </c>
      <c r="L48" s="6">
        <f t="shared" si="2"/>
        <v>4.6249999999999999E-2</v>
      </c>
      <c r="M48" s="5">
        <f t="shared" si="3"/>
        <v>2.0740491605706437E-3</v>
      </c>
    </row>
    <row r="49" spans="5:13" x14ac:dyDescent="0.3">
      <c r="E49" s="9">
        <v>33493</v>
      </c>
      <c r="F49" s="9" t="s">
        <v>427</v>
      </c>
      <c r="G49" s="9" t="s">
        <v>30</v>
      </c>
      <c r="H49" s="8">
        <v>46304</v>
      </c>
      <c r="I49" s="7">
        <v>5500</v>
      </c>
      <c r="J49" s="7">
        <v>5449</v>
      </c>
      <c r="K49" s="7">
        <v>51</v>
      </c>
      <c r="L49" s="6">
        <f t="shared" si="2"/>
        <v>9.2727272727272728E-3</v>
      </c>
      <c r="M49" s="5">
        <f t="shared" si="3"/>
        <v>1.4294122593122005E-3</v>
      </c>
    </row>
    <row r="50" spans="5:13" x14ac:dyDescent="0.3">
      <c r="E50" s="9">
        <v>33431</v>
      </c>
      <c r="F50" s="9" t="s">
        <v>462</v>
      </c>
      <c r="G50" s="9" t="s">
        <v>461</v>
      </c>
      <c r="H50" s="8">
        <v>46302</v>
      </c>
      <c r="I50" s="7">
        <v>5400</v>
      </c>
      <c r="J50" s="7">
        <v>5353</v>
      </c>
      <c r="K50" s="7">
        <v>47</v>
      </c>
      <c r="L50" s="6">
        <f t="shared" si="2"/>
        <v>8.7037037037037031E-3</v>
      </c>
      <c r="M50" s="5">
        <f t="shared" si="3"/>
        <v>1.3173014938759494E-3</v>
      </c>
    </row>
    <row r="51" spans="5:13" x14ac:dyDescent="0.3">
      <c r="E51" s="9">
        <v>33464</v>
      </c>
      <c r="F51" s="9" t="s">
        <v>455</v>
      </c>
      <c r="G51" s="9" t="s">
        <v>12</v>
      </c>
      <c r="H51" s="8">
        <v>46301</v>
      </c>
      <c r="I51" s="20">
        <v>12000</v>
      </c>
      <c r="J51" s="20">
        <v>11957</v>
      </c>
      <c r="K51" s="20">
        <v>43</v>
      </c>
      <c r="L51" s="6">
        <f t="shared" si="2"/>
        <v>3.5833333333333333E-3</v>
      </c>
      <c r="M51" s="5">
        <f t="shared" si="3"/>
        <v>1.2051907284396984E-3</v>
      </c>
    </row>
    <row r="52" spans="5:13" x14ac:dyDescent="0.3">
      <c r="E52" s="9">
        <v>33354</v>
      </c>
      <c r="F52" s="9" t="s">
        <v>190</v>
      </c>
      <c r="G52" s="9" t="s">
        <v>2</v>
      </c>
      <c r="H52" s="8">
        <v>46304</v>
      </c>
      <c r="I52" s="20">
        <v>10800</v>
      </c>
      <c r="J52" s="20">
        <v>10760</v>
      </c>
      <c r="K52" s="20">
        <v>40</v>
      </c>
      <c r="L52" s="6">
        <f t="shared" si="2"/>
        <v>3.7037037037037038E-3</v>
      </c>
      <c r="M52" s="5">
        <f t="shared" si="3"/>
        <v>1.1211076543625102E-3</v>
      </c>
    </row>
    <row r="53" spans="5:13" x14ac:dyDescent="0.3">
      <c r="E53" s="9">
        <v>33476</v>
      </c>
      <c r="F53" s="9" t="s">
        <v>331</v>
      </c>
      <c r="G53" s="9" t="s">
        <v>36</v>
      </c>
      <c r="H53" s="8">
        <v>46303</v>
      </c>
      <c r="I53" s="20">
        <v>1800</v>
      </c>
      <c r="J53" s="20">
        <v>1762</v>
      </c>
      <c r="K53" s="20">
        <v>38</v>
      </c>
      <c r="L53" s="6">
        <f t="shared" si="2"/>
        <v>2.1111111111111112E-2</v>
      </c>
      <c r="M53" s="5">
        <f t="shared" si="3"/>
        <v>1.0650522716443846E-3</v>
      </c>
    </row>
    <row r="54" spans="5:13" x14ac:dyDescent="0.3">
      <c r="E54" s="9">
        <v>33473</v>
      </c>
      <c r="F54" s="9" t="s">
        <v>460</v>
      </c>
      <c r="G54" s="9" t="s">
        <v>24</v>
      </c>
      <c r="H54" s="8">
        <v>46301</v>
      </c>
      <c r="I54" s="20">
        <v>1200</v>
      </c>
      <c r="J54" s="20">
        <v>1180</v>
      </c>
      <c r="K54" s="20">
        <v>20</v>
      </c>
      <c r="L54" s="6">
        <f t="shared" si="2"/>
        <v>1.6666666666666666E-2</v>
      </c>
      <c r="M54" s="5">
        <f t="shared" si="3"/>
        <v>5.6055382718125512E-4</v>
      </c>
    </row>
    <row r="55" spans="5:13" x14ac:dyDescent="0.3">
      <c r="E55" s="9">
        <v>33467</v>
      </c>
      <c r="F55" s="9" t="s">
        <v>459</v>
      </c>
      <c r="G55" s="9" t="s">
        <v>12</v>
      </c>
      <c r="H55" s="8">
        <v>46302</v>
      </c>
      <c r="I55" s="20">
        <v>4200</v>
      </c>
      <c r="J55" s="20">
        <v>4186</v>
      </c>
      <c r="K55" s="20">
        <v>14</v>
      </c>
      <c r="L55" s="6">
        <f t="shared" si="2"/>
        <v>3.3333333333333335E-3</v>
      </c>
      <c r="M55" s="5">
        <f t="shared" si="3"/>
        <v>3.9238767902687857E-4</v>
      </c>
    </row>
    <row r="56" spans="5:13" x14ac:dyDescent="0.3">
      <c r="E56" s="9">
        <v>33478</v>
      </c>
      <c r="F56" s="9" t="s">
        <v>458</v>
      </c>
      <c r="G56" s="9" t="s">
        <v>410</v>
      </c>
      <c r="H56" s="8">
        <v>46303</v>
      </c>
      <c r="I56" s="20">
        <v>600</v>
      </c>
      <c r="J56" s="20">
        <v>590</v>
      </c>
      <c r="K56" s="20">
        <v>10</v>
      </c>
      <c r="L56" s="6">
        <f t="shared" si="2"/>
        <v>1.6666666666666666E-2</v>
      </c>
      <c r="M56" s="5">
        <f t="shared" si="3"/>
        <v>2.8027691359062756E-4</v>
      </c>
    </row>
    <row r="57" spans="5:13" x14ac:dyDescent="0.3">
      <c r="E57" s="9">
        <v>33306</v>
      </c>
      <c r="F57" s="9" t="s">
        <v>299</v>
      </c>
      <c r="G57" s="9" t="s">
        <v>79</v>
      </c>
      <c r="H57" s="8">
        <v>46300</v>
      </c>
      <c r="I57" s="20">
        <v>3600</v>
      </c>
      <c r="J57" s="20">
        <v>3600</v>
      </c>
      <c r="K57" s="20">
        <v>0</v>
      </c>
      <c r="L57" s="6">
        <f t="shared" si="2"/>
        <v>0</v>
      </c>
      <c r="M57" s="5">
        <f t="shared" si="3"/>
        <v>0</v>
      </c>
    </row>
    <row r="58" spans="5:13" x14ac:dyDescent="0.3">
      <c r="E58" s="9">
        <v>33360</v>
      </c>
      <c r="F58" s="9" t="s">
        <v>457</v>
      </c>
      <c r="G58" s="9" t="s">
        <v>456</v>
      </c>
      <c r="H58" s="8">
        <v>46301</v>
      </c>
      <c r="I58" s="20">
        <v>4800</v>
      </c>
      <c r="J58" s="20">
        <v>4800</v>
      </c>
      <c r="K58" s="20">
        <v>0</v>
      </c>
      <c r="L58" s="6">
        <f t="shared" si="2"/>
        <v>0</v>
      </c>
      <c r="M58" s="5">
        <f t="shared" si="3"/>
        <v>0</v>
      </c>
    </row>
    <row r="59" spans="5:13" x14ac:dyDescent="0.3">
      <c r="E59" s="9">
        <v>33453</v>
      </c>
      <c r="F59" s="9" t="s">
        <v>455</v>
      </c>
      <c r="G59" s="9" t="s">
        <v>12</v>
      </c>
      <c r="H59" s="8">
        <v>46300</v>
      </c>
      <c r="I59" s="20">
        <v>8000</v>
      </c>
      <c r="J59" s="20">
        <v>8174</v>
      </c>
      <c r="K59" s="20">
        <v>0</v>
      </c>
      <c r="L59" s="6">
        <f t="shared" si="2"/>
        <v>0</v>
      </c>
      <c r="M59" s="5">
        <f t="shared" si="3"/>
        <v>0</v>
      </c>
    </row>
    <row r="60" spans="5:13" x14ac:dyDescent="0.3">
      <c r="E60" s="9">
        <v>33455</v>
      </c>
      <c r="F60" s="9" t="s">
        <v>455</v>
      </c>
      <c r="G60" s="9" t="s">
        <v>12</v>
      </c>
      <c r="H60" s="8">
        <v>46301</v>
      </c>
      <c r="I60" s="20">
        <v>8000</v>
      </c>
      <c r="J60" s="20">
        <v>8249</v>
      </c>
      <c r="K60" s="20">
        <v>0</v>
      </c>
      <c r="L60" s="6">
        <f t="shared" si="2"/>
        <v>0</v>
      </c>
      <c r="M60" s="5">
        <f t="shared" si="3"/>
        <v>0</v>
      </c>
    </row>
    <row r="61" spans="5:13" x14ac:dyDescent="0.3">
      <c r="E61" s="9">
        <v>33462</v>
      </c>
      <c r="F61" s="9" t="s">
        <v>306</v>
      </c>
      <c r="G61" s="9" t="s">
        <v>12</v>
      </c>
      <c r="H61" s="8">
        <v>46304</v>
      </c>
      <c r="I61" s="20">
        <v>6000</v>
      </c>
      <c r="J61" s="20">
        <v>6168</v>
      </c>
      <c r="K61" s="20">
        <v>0</v>
      </c>
      <c r="L61" s="6">
        <f t="shared" si="2"/>
        <v>0</v>
      </c>
      <c r="M61" s="5">
        <f t="shared" si="3"/>
        <v>0</v>
      </c>
    </row>
    <row r="62" spans="5:13" x14ac:dyDescent="0.3">
      <c r="E62" s="9">
        <v>33463</v>
      </c>
      <c r="F62" s="9" t="s">
        <v>454</v>
      </c>
      <c r="G62" s="9" t="s">
        <v>12</v>
      </c>
      <c r="H62" s="8">
        <v>46300</v>
      </c>
      <c r="I62" s="20">
        <v>5600</v>
      </c>
      <c r="J62" s="20">
        <v>5644</v>
      </c>
      <c r="K62" s="20">
        <v>0</v>
      </c>
      <c r="L62" s="6">
        <f t="shared" si="2"/>
        <v>0</v>
      </c>
      <c r="M62" s="5">
        <f t="shared" si="3"/>
        <v>0</v>
      </c>
    </row>
    <row r="63" spans="5:13" x14ac:dyDescent="0.3">
      <c r="E63" s="9">
        <v>33487</v>
      </c>
      <c r="F63" s="9" t="s">
        <v>347</v>
      </c>
      <c r="G63" s="9" t="s">
        <v>2</v>
      </c>
      <c r="H63" s="8">
        <v>46303</v>
      </c>
      <c r="I63" s="20">
        <v>1200</v>
      </c>
      <c r="J63" s="20">
        <v>1225</v>
      </c>
      <c r="K63" s="20">
        <v>0</v>
      </c>
      <c r="L63" s="6">
        <f t="shared" si="2"/>
        <v>0</v>
      </c>
      <c r="M63" s="5">
        <f t="shared" si="3"/>
        <v>0</v>
      </c>
    </row>
    <row r="64" spans="5:13" x14ac:dyDescent="0.3">
      <c r="E64" s="9">
        <v>33500</v>
      </c>
      <c r="F64" s="9" t="s">
        <v>453</v>
      </c>
      <c r="G64" s="9" t="s">
        <v>450</v>
      </c>
      <c r="H64" s="8">
        <v>46304</v>
      </c>
      <c r="I64" s="20">
        <v>3600</v>
      </c>
      <c r="J64" s="20">
        <v>3626</v>
      </c>
      <c r="K64" s="20">
        <v>0</v>
      </c>
      <c r="L64" s="6">
        <f t="shared" si="2"/>
        <v>0</v>
      </c>
      <c r="M64" s="5">
        <f t="shared" si="3"/>
        <v>0</v>
      </c>
    </row>
    <row r="65" spans="5:13" x14ac:dyDescent="0.3">
      <c r="E65" s="9">
        <v>33501</v>
      </c>
      <c r="F65" s="9" t="s">
        <v>452</v>
      </c>
      <c r="G65" s="9" t="s">
        <v>450</v>
      </c>
      <c r="H65" s="8">
        <v>46304</v>
      </c>
      <c r="I65" s="20">
        <v>3600</v>
      </c>
      <c r="J65" s="20">
        <v>3652</v>
      </c>
      <c r="K65" s="20">
        <v>0</v>
      </c>
      <c r="L65" s="6">
        <f t="shared" si="2"/>
        <v>0</v>
      </c>
      <c r="M65" s="5">
        <f t="shared" si="3"/>
        <v>0</v>
      </c>
    </row>
    <row r="66" spans="5:13" x14ac:dyDescent="0.3">
      <c r="E66" s="9">
        <v>33502</v>
      </c>
      <c r="F66" s="9" t="s">
        <v>451</v>
      </c>
      <c r="G66" s="9" t="s">
        <v>450</v>
      </c>
      <c r="H66" s="8">
        <v>46304</v>
      </c>
      <c r="I66" s="20">
        <v>1800</v>
      </c>
      <c r="J66" s="20">
        <v>3623</v>
      </c>
      <c r="K66" s="20">
        <v>0</v>
      </c>
      <c r="L66" s="6">
        <f t="shared" ref="L66:L97" si="4">K66/I66</f>
        <v>0</v>
      </c>
      <c r="M66" s="5">
        <f t="shared" si="3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41">
    <cfRule type="duplicateValues" dxfId="1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07B6-B58E-4706-97C4-668105E3C6DC}">
  <sheetPr>
    <tabColor theme="1"/>
  </sheetPr>
  <dimension ref="A1:H52"/>
  <sheetViews>
    <sheetView zoomScaleNormal="100" workbookViewId="0">
      <selection activeCell="C20" sqref="C20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7.109375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37" t="s">
        <v>118</v>
      </c>
      <c r="B1" s="37" t="s">
        <v>249</v>
      </c>
      <c r="C1" s="37" t="s">
        <v>248</v>
      </c>
      <c r="D1" s="38" t="s">
        <v>247</v>
      </c>
      <c r="E1" s="37" t="s">
        <v>246</v>
      </c>
      <c r="F1" s="37" t="s">
        <v>245</v>
      </c>
      <c r="G1" s="36" t="s">
        <v>244</v>
      </c>
      <c r="H1" s="36" t="s">
        <v>243</v>
      </c>
    </row>
    <row r="2" spans="1:8" x14ac:dyDescent="0.3">
      <c r="A2" s="56"/>
      <c r="B2" s="56"/>
      <c r="C2" s="9"/>
      <c r="D2" s="20"/>
      <c r="E2" s="14" t="e">
        <f>D2/$G$2</f>
        <v>#DIV/0!</v>
      </c>
      <c r="F2" s="9"/>
      <c r="G2" s="59">
        <f>SUM(D2:D4)</f>
        <v>0</v>
      </c>
      <c r="H2" s="56" t="s">
        <v>242</v>
      </c>
    </row>
    <row r="3" spans="1:8" x14ac:dyDescent="0.3">
      <c r="A3" s="57"/>
      <c r="B3" s="57"/>
      <c r="C3" s="9"/>
      <c r="D3" s="20"/>
      <c r="E3" s="14" t="e">
        <f>D3/$G$2</f>
        <v>#DIV/0!</v>
      </c>
      <c r="F3" s="9"/>
      <c r="G3" s="60"/>
      <c r="H3" s="57"/>
    </row>
    <row r="4" spans="1:8" x14ac:dyDescent="0.3">
      <c r="A4" s="58"/>
      <c r="B4" s="58"/>
      <c r="C4" s="9"/>
      <c r="D4" s="20"/>
      <c r="E4" s="14" t="e">
        <f>D4/$G$2</f>
        <v>#DIV/0!</v>
      </c>
      <c r="F4" s="9"/>
      <c r="G4" s="60"/>
      <c r="H4" s="57"/>
    </row>
    <row r="5" spans="1:8" x14ac:dyDescent="0.3">
      <c r="A5" s="33"/>
      <c r="B5" s="33"/>
      <c r="D5" s="28"/>
      <c r="E5" s="28"/>
      <c r="G5" s="35"/>
      <c r="H5" s="33"/>
    </row>
    <row r="6" spans="1:8" x14ac:dyDescent="0.3">
      <c r="A6" s="56"/>
      <c r="B6" s="56"/>
      <c r="C6" s="9"/>
      <c r="D6" s="9"/>
      <c r="E6" s="14" t="e">
        <f>D6/$G$6</f>
        <v>#DIV/0!</v>
      </c>
      <c r="F6" s="9"/>
      <c r="G6" s="61">
        <f>SUM(D6:D10)</f>
        <v>0</v>
      </c>
      <c r="H6" s="62" t="s">
        <v>242</v>
      </c>
    </row>
    <row r="7" spans="1:8" x14ac:dyDescent="0.3">
      <c r="A7" s="57"/>
      <c r="B7" s="57"/>
      <c r="C7" s="9"/>
      <c r="D7" s="9"/>
      <c r="E7" s="14" t="e">
        <f>D7/$G$6</f>
        <v>#DIV/0!</v>
      </c>
      <c r="F7" s="9"/>
      <c r="G7" s="61"/>
      <c r="H7" s="62"/>
    </row>
    <row r="8" spans="1:8" x14ac:dyDescent="0.3">
      <c r="A8" s="57"/>
      <c r="B8" s="57"/>
      <c r="C8" s="9"/>
      <c r="D8" s="9"/>
      <c r="E8" s="14" t="e">
        <f>D8/$G$6</f>
        <v>#DIV/0!</v>
      </c>
      <c r="F8" s="9"/>
      <c r="G8" s="61"/>
      <c r="H8" s="62"/>
    </row>
    <row r="9" spans="1:8" x14ac:dyDescent="0.3">
      <c r="A9" s="57"/>
      <c r="B9" s="57"/>
      <c r="C9" s="9"/>
      <c r="D9" s="9"/>
      <c r="E9" s="14" t="e">
        <f>D9/$G$6</f>
        <v>#DIV/0!</v>
      </c>
      <c r="F9" s="9"/>
      <c r="G9" s="61"/>
      <c r="H9" s="62"/>
    </row>
    <row r="10" spans="1:8" x14ac:dyDescent="0.3">
      <c r="A10" s="58"/>
      <c r="B10" s="58"/>
      <c r="C10" s="9"/>
      <c r="D10" s="9"/>
      <c r="E10" s="14" t="e">
        <f>D10/$G$6</f>
        <v>#DIV/0!</v>
      </c>
      <c r="F10" s="9"/>
      <c r="G10" s="61"/>
      <c r="H10" s="62"/>
    </row>
    <row r="11" spans="1:8" x14ac:dyDescent="0.3">
      <c r="G11" s="34"/>
      <c r="H11" s="33"/>
    </row>
    <row r="12" spans="1:8" x14ac:dyDescent="0.3">
      <c r="D12" s="28"/>
    </row>
    <row r="13" spans="1:8" x14ac:dyDescent="0.3">
      <c r="A13" s="62"/>
      <c r="B13" s="62"/>
      <c r="C13" s="9"/>
      <c r="D13" s="9"/>
      <c r="E13" s="14" t="e">
        <f>D13/$G$13</f>
        <v>#DIV/0!</v>
      </c>
      <c r="F13" s="9"/>
      <c r="G13" s="61">
        <f>SUM(D13:D17)</f>
        <v>0</v>
      </c>
      <c r="H13" s="62" t="s">
        <v>242</v>
      </c>
    </row>
    <row r="14" spans="1:8" x14ac:dyDescent="0.3">
      <c r="A14" s="62"/>
      <c r="B14" s="62"/>
      <c r="C14" s="9"/>
      <c r="D14" s="9"/>
      <c r="E14" s="14" t="e">
        <f>D14/$G$13</f>
        <v>#DIV/0!</v>
      </c>
      <c r="F14" s="9"/>
      <c r="G14" s="61"/>
      <c r="H14" s="62"/>
    </row>
    <row r="15" spans="1:8" x14ac:dyDescent="0.3">
      <c r="A15" s="62"/>
      <c r="B15" s="62"/>
      <c r="C15" s="9"/>
      <c r="D15" s="9"/>
      <c r="E15" s="14" t="e">
        <f>D15/$G$13</f>
        <v>#DIV/0!</v>
      </c>
      <c r="F15" s="9"/>
      <c r="G15" s="61"/>
      <c r="H15" s="62"/>
    </row>
    <row r="16" spans="1:8" x14ac:dyDescent="0.3">
      <c r="A16" s="62"/>
      <c r="B16" s="62"/>
      <c r="C16" s="9"/>
      <c r="D16" s="9"/>
      <c r="E16" s="14" t="e">
        <f>D16/$G$13</f>
        <v>#DIV/0!</v>
      </c>
      <c r="F16" s="9"/>
      <c r="G16" s="61"/>
      <c r="H16" s="62"/>
    </row>
    <row r="17" spans="1:8" x14ac:dyDescent="0.3">
      <c r="A17" s="62"/>
      <c r="B17" s="62"/>
      <c r="C17" s="9"/>
      <c r="D17" s="9"/>
      <c r="E17" s="14" t="e">
        <f>D17/$G$13</f>
        <v>#DIV/0!</v>
      </c>
      <c r="F17" s="9"/>
      <c r="G17" s="61"/>
      <c r="H17" s="62"/>
    </row>
    <row r="19" spans="1:8" x14ac:dyDescent="0.3">
      <c r="A19" s="62"/>
      <c r="B19" s="62"/>
      <c r="C19" s="9"/>
      <c r="D19" s="20"/>
      <c r="E19" s="14" t="e">
        <f>D19/$G$19</f>
        <v>#DIV/0!</v>
      </c>
      <c r="F19" s="9"/>
      <c r="G19" s="61">
        <f>SUM(D19:D21)</f>
        <v>0</v>
      </c>
      <c r="H19" s="62" t="s">
        <v>242</v>
      </c>
    </row>
    <row r="20" spans="1:8" x14ac:dyDescent="0.3">
      <c r="A20" s="62"/>
      <c r="B20" s="62"/>
      <c r="C20" s="9"/>
      <c r="D20" s="20"/>
      <c r="E20" s="14" t="e">
        <f>D20/$G$19</f>
        <v>#DIV/0!</v>
      </c>
      <c r="F20" s="9"/>
      <c r="G20" s="61"/>
      <c r="H20" s="62"/>
    </row>
    <row r="21" spans="1:8" x14ac:dyDescent="0.3">
      <c r="A21" s="62"/>
      <c r="B21" s="62"/>
      <c r="C21" s="9"/>
      <c r="D21" s="20"/>
      <c r="E21" s="14" t="e">
        <f>D21/$G$19</f>
        <v>#DIV/0!</v>
      </c>
      <c r="F21" s="9"/>
      <c r="G21" s="61"/>
      <c r="H21" s="62"/>
    </row>
    <row r="23" spans="1:8" x14ac:dyDescent="0.3">
      <c r="A23" s="62"/>
      <c r="B23" s="62"/>
      <c r="C23" s="9"/>
      <c r="D23" s="9"/>
      <c r="E23" s="14" t="e">
        <f t="shared" ref="E23:E29" si="0">D23/$G$23</f>
        <v>#DIV/0!</v>
      </c>
      <c r="F23" s="9"/>
      <c r="G23" s="61">
        <f>SUM(D23:D29)</f>
        <v>0</v>
      </c>
      <c r="H23" s="61" t="s">
        <v>242</v>
      </c>
    </row>
    <row r="24" spans="1:8" x14ac:dyDescent="0.3">
      <c r="A24" s="62"/>
      <c r="B24" s="62"/>
      <c r="C24" s="9"/>
      <c r="D24" s="9"/>
      <c r="E24" s="14" t="e">
        <f t="shared" si="0"/>
        <v>#DIV/0!</v>
      </c>
      <c r="F24" s="9"/>
      <c r="G24" s="61"/>
      <c r="H24" s="61"/>
    </row>
    <row r="25" spans="1:8" x14ac:dyDescent="0.3">
      <c r="A25" s="62"/>
      <c r="B25" s="62"/>
      <c r="C25" s="9"/>
      <c r="D25" s="9"/>
      <c r="E25" s="14" t="e">
        <f t="shared" si="0"/>
        <v>#DIV/0!</v>
      </c>
      <c r="F25" s="9"/>
      <c r="G25" s="61"/>
      <c r="H25" s="61"/>
    </row>
    <row r="26" spans="1:8" x14ac:dyDescent="0.3">
      <c r="A26" s="62"/>
      <c r="B26" s="62"/>
      <c r="C26" s="9"/>
      <c r="D26" s="9"/>
      <c r="E26" s="14" t="e">
        <f t="shared" si="0"/>
        <v>#DIV/0!</v>
      </c>
      <c r="F26" s="9"/>
      <c r="G26" s="61"/>
      <c r="H26" s="61"/>
    </row>
    <row r="27" spans="1:8" x14ac:dyDescent="0.3">
      <c r="A27" s="62"/>
      <c r="B27" s="62"/>
      <c r="C27" s="9"/>
      <c r="D27" s="9"/>
      <c r="E27" s="14" t="e">
        <f t="shared" si="0"/>
        <v>#DIV/0!</v>
      </c>
      <c r="F27" s="9"/>
      <c r="G27" s="61"/>
      <c r="H27" s="61"/>
    </row>
    <row r="28" spans="1:8" x14ac:dyDescent="0.3">
      <c r="A28" s="62"/>
      <c r="B28" s="62"/>
      <c r="C28" s="9"/>
      <c r="D28" s="9"/>
      <c r="E28" s="14" t="e">
        <f t="shared" si="0"/>
        <v>#DIV/0!</v>
      </c>
      <c r="F28" s="9"/>
      <c r="G28" s="61"/>
      <c r="H28" s="61"/>
    </row>
    <row r="29" spans="1:8" x14ac:dyDescent="0.3">
      <c r="A29" s="62"/>
      <c r="B29" s="62"/>
      <c r="C29" s="9"/>
      <c r="D29" s="9"/>
      <c r="E29" s="14" t="e">
        <f t="shared" si="0"/>
        <v>#DIV/0!</v>
      </c>
      <c r="F29" s="9"/>
      <c r="G29" s="61"/>
      <c r="H29" s="61"/>
    </row>
    <row r="31" spans="1:8" x14ac:dyDescent="0.3">
      <c r="A31" s="56"/>
      <c r="B31" s="56"/>
      <c r="C31" s="9"/>
      <c r="D31" s="20"/>
      <c r="E31" s="14" t="e">
        <f t="shared" ref="E31:E36" si="1">D31/$G$31</f>
        <v>#DIV/0!</v>
      </c>
      <c r="F31" s="9"/>
      <c r="G31" s="59">
        <f>SUM(D31:D36)</f>
        <v>0</v>
      </c>
      <c r="H31" s="59" t="s">
        <v>241</v>
      </c>
    </row>
    <row r="32" spans="1:8" x14ac:dyDescent="0.3">
      <c r="A32" s="57"/>
      <c r="B32" s="57"/>
      <c r="C32" s="9"/>
      <c r="D32" s="20"/>
      <c r="E32" s="14" t="e">
        <f t="shared" si="1"/>
        <v>#DIV/0!</v>
      </c>
      <c r="F32" s="9"/>
      <c r="G32" s="60"/>
      <c r="H32" s="60"/>
    </row>
    <row r="33" spans="1:8" x14ac:dyDescent="0.3">
      <c r="A33" s="57"/>
      <c r="B33" s="57"/>
      <c r="C33" s="9"/>
      <c r="D33" s="20"/>
      <c r="E33" s="14" t="e">
        <f t="shared" si="1"/>
        <v>#DIV/0!</v>
      </c>
      <c r="F33" s="9"/>
      <c r="G33" s="60"/>
      <c r="H33" s="60"/>
    </row>
    <row r="34" spans="1:8" x14ac:dyDescent="0.3">
      <c r="A34" s="57"/>
      <c r="B34" s="57"/>
      <c r="C34" s="9"/>
      <c r="D34" s="20"/>
      <c r="E34" s="14" t="e">
        <f t="shared" si="1"/>
        <v>#DIV/0!</v>
      </c>
      <c r="F34" s="9"/>
      <c r="G34" s="60"/>
      <c r="H34" s="60"/>
    </row>
    <row r="35" spans="1:8" x14ac:dyDescent="0.3">
      <c r="A35" s="57"/>
      <c r="B35" s="57"/>
      <c r="C35" s="9"/>
      <c r="D35" s="20"/>
      <c r="E35" s="14" t="e">
        <f t="shared" si="1"/>
        <v>#DIV/0!</v>
      </c>
      <c r="F35" s="9"/>
      <c r="G35" s="60"/>
      <c r="H35" s="60"/>
    </row>
    <row r="36" spans="1:8" x14ac:dyDescent="0.3">
      <c r="A36" s="58"/>
      <c r="B36" s="58"/>
      <c r="C36" s="9"/>
      <c r="D36" s="20"/>
      <c r="E36" s="14" t="e">
        <f t="shared" si="1"/>
        <v>#DIV/0!</v>
      </c>
      <c r="F36" s="9"/>
      <c r="G36" s="63"/>
      <c r="H36" s="63"/>
    </row>
    <row r="39" spans="1:8" x14ac:dyDescent="0.3">
      <c r="A39" s="56"/>
      <c r="B39" s="56"/>
      <c r="C39" s="9"/>
      <c r="D39" s="20"/>
      <c r="E39" s="14" t="e">
        <f>D39/$G$39</f>
        <v>#DIV/0!</v>
      </c>
      <c r="F39" s="9"/>
      <c r="G39" s="59">
        <f>SUM(D39:D43)</f>
        <v>0</v>
      </c>
      <c r="H39" s="56" t="s">
        <v>241</v>
      </c>
    </row>
    <row r="40" spans="1:8" x14ac:dyDescent="0.3">
      <c r="A40" s="57"/>
      <c r="B40" s="57"/>
      <c r="C40" s="9"/>
      <c r="D40" s="20"/>
      <c r="E40" s="14" t="e">
        <f>D40/$G$39</f>
        <v>#DIV/0!</v>
      </c>
      <c r="F40" s="9"/>
      <c r="G40" s="60"/>
      <c r="H40" s="57"/>
    </row>
    <row r="41" spans="1:8" x14ac:dyDescent="0.3">
      <c r="A41" s="57"/>
      <c r="B41" s="57"/>
      <c r="C41" s="9"/>
      <c r="D41" s="20"/>
      <c r="E41" s="14" t="e">
        <f>D41/$G$39</f>
        <v>#DIV/0!</v>
      </c>
      <c r="F41" s="9"/>
      <c r="G41" s="60"/>
      <c r="H41" s="57"/>
    </row>
    <row r="42" spans="1:8" x14ac:dyDescent="0.3">
      <c r="A42" s="57"/>
      <c r="B42" s="57"/>
      <c r="C42" s="9"/>
      <c r="D42" s="20"/>
      <c r="E42" s="14" t="e">
        <f>D42/$G$39</f>
        <v>#DIV/0!</v>
      </c>
      <c r="F42" s="9"/>
      <c r="G42" s="60"/>
      <c r="H42" s="57"/>
    </row>
    <row r="43" spans="1:8" x14ac:dyDescent="0.3">
      <c r="A43" s="58"/>
      <c r="B43" s="58"/>
      <c r="C43" s="9"/>
      <c r="D43" s="20"/>
      <c r="E43" s="14" t="e">
        <f>D43/$G$39</f>
        <v>#DIV/0!</v>
      </c>
      <c r="F43" s="9"/>
      <c r="G43" s="63"/>
      <c r="H43" s="58"/>
    </row>
    <row r="45" spans="1:8" x14ac:dyDescent="0.3">
      <c r="A45" s="56"/>
      <c r="B45" s="56"/>
      <c r="C45" s="9"/>
      <c r="D45" s="20"/>
      <c r="E45" s="14" t="e">
        <f>D45/$G$45</f>
        <v>#DIV/0!</v>
      </c>
      <c r="F45" s="9"/>
      <c r="G45" s="59">
        <f>SUM(D45:D48)</f>
        <v>0</v>
      </c>
      <c r="H45" s="56" t="s">
        <v>242</v>
      </c>
    </row>
    <row r="46" spans="1:8" x14ac:dyDescent="0.3">
      <c r="A46" s="57"/>
      <c r="B46" s="57"/>
      <c r="C46" s="9"/>
      <c r="D46" s="20"/>
      <c r="E46" s="14" t="e">
        <f>D46/$G$45</f>
        <v>#DIV/0!</v>
      </c>
      <c r="F46" s="9"/>
      <c r="G46" s="60"/>
      <c r="H46" s="57"/>
    </row>
    <row r="47" spans="1:8" x14ac:dyDescent="0.3">
      <c r="A47" s="57"/>
      <c r="B47" s="57"/>
      <c r="C47" s="9"/>
      <c r="D47" s="20"/>
      <c r="E47" s="14" t="e">
        <f>D47/$G$45</f>
        <v>#DIV/0!</v>
      </c>
      <c r="F47" s="9"/>
      <c r="G47" s="60"/>
      <c r="H47" s="57"/>
    </row>
    <row r="48" spans="1:8" x14ac:dyDescent="0.3">
      <c r="A48" s="58"/>
      <c r="B48" s="58"/>
      <c r="C48" s="9"/>
      <c r="D48" s="20"/>
      <c r="E48" s="14" t="e">
        <f>D48/$G$45</f>
        <v>#DIV/0!</v>
      </c>
      <c r="F48" s="9"/>
      <c r="G48" s="63"/>
      <c r="H48" s="58"/>
    </row>
    <row r="50" spans="1:8" x14ac:dyDescent="0.3">
      <c r="A50" s="56"/>
      <c r="B50" s="56"/>
      <c r="C50" s="9"/>
      <c r="D50" s="20"/>
      <c r="E50" s="14" t="e">
        <f>D50/$G$50</f>
        <v>#DIV/0!</v>
      </c>
      <c r="F50" s="9"/>
      <c r="G50" s="59">
        <f>SUM(D50:D52)</f>
        <v>0</v>
      </c>
      <c r="H50" s="56" t="s">
        <v>242</v>
      </c>
    </row>
    <row r="51" spans="1:8" x14ac:dyDescent="0.3">
      <c r="A51" s="57"/>
      <c r="B51" s="57"/>
      <c r="C51" s="9"/>
      <c r="D51" s="20"/>
      <c r="E51" s="14" t="e">
        <f>D51/$G$50</f>
        <v>#DIV/0!</v>
      </c>
      <c r="F51" s="9"/>
      <c r="G51" s="60"/>
      <c r="H51" s="57"/>
    </row>
    <row r="52" spans="1:8" x14ac:dyDescent="0.3">
      <c r="A52" s="58"/>
      <c r="B52" s="58"/>
      <c r="C52" s="9"/>
      <c r="D52" s="20"/>
      <c r="E52" s="14" t="e">
        <f>D52/$G$50</f>
        <v>#DIV/0!</v>
      </c>
      <c r="F52" s="9"/>
      <c r="G52" s="63"/>
      <c r="H52" s="58"/>
    </row>
  </sheetData>
  <mergeCells count="36">
    <mergeCell ref="A50:A52"/>
    <mergeCell ref="B50:B52"/>
    <mergeCell ref="G50:G52"/>
    <mergeCell ref="H50:H52"/>
    <mergeCell ref="A39:A43"/>
    <mergeCell ref="B39:B43"/>
    <mergeCell ref="G39:G43"/>
    <mergeCell ref="H39:H43"/>
    <mergeCell ref="A45:A48"/>
    <mergeCell ref="B45:B48"/>
    <mergeCell ref="G45:G48"/>
    <mergeCell ref="H45:H48"/>
    <mergeCell ref="A23:A29"/>
    <mergeCell ref="B23:B29"/>
    <mergeCell ref="G23:G29"/>
    <mergeCell ref="H23:H29"/>
    <mergeCell ref="A31:A36"/>
    <mergeCell ref="B31:B36"/>
    <mergeCell ref="G31:G36"/>
    <mergeCell ref="H31:H36"/>
    <mergeCell ref="A13:A17"/>
    <mergeCell ref="B13:B17"/>
    <mergeCell ref="G13:G17"/>
    <mergeCell ref="H13:H17"/>
    <mergeCell ref="A19:A21"/>
    <mergeCell ref="B19:B21"/>
    <mergeCell ref="G19:G21"/>
    <mergeCell ref="H19:H21"/>
    <mergeCell ref="A2:A4"/>
    <mergeCell ref="B2:B4"/>
    <mergeCell ref="G2:G4"/>
    <mergeCell ref="H2:H4"/>
    <mergeCell ref="A6:A10"/>
    <mergeCell ref="B6:B10"/>
    <mergeCell ref="G6:G10"/>
    <mergeCell ref="H6:H10"/>
  </mergeCells>
  <conditionalFormatting sqref="A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sem 32</vt:lpstr>
      <vt:lpstr>sem 33</vt:lpstr>
      <vt:lpstr>sem 34</vt:lpstr>
      <vt:lpstr>sem 35</vt:lpstr>
      <vt:lpstr>sem 36</vt:lpstr>
      <vt:lpstr>sem 37</vt:lpstr>
      <vt:lpstr>sem 38</vt:lpstr>
      <vt:lpstr>sem 39</vt:lpstr>
      <vt:lpstr>sem 40</vt:lpstr>
      <vt:lpstr>sem 41</vt:lpstr>
      <vt:lpstr>DETALLE MERMAS sem 41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2026-10-13T16:48:03Z</dcterms:modified>
</cp:coreProperties>
</file>