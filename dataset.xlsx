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Escritorio\Luciano\proyecto_mermas\"/>
    </mc:Choice>
  </mc:AlternateContent>
  <xr:revisionPtr revIDLastSave="0" documentId="13_ncr:1_{956D5B1E-64E6-49D6-82DF-EB2E22BEE330}" xr6:coauthVersionLast="47" xr6:coauthVersionMax="47" xr10:uidLastSave="{00000000-0000-0000-0000-000000000000}"/>
  <bookViews>
    <workbookView xWindow="28680" yWindow="-120" windowWidth="29040" windowHeight="15720" firstSheet="1" activeTab="10" xr2:uid="{C80246F2-AE3D-43DA-8120-B499A1ED83C7}"/>
  </bookViews>
  <sheets>
    <sheet name="sem 32" sheetId="4" r:id="rId1"/>
    <sheet name="sem 33" sheetId="2" r:id="rId2"/>
    <sheet name="sem 34" sheetId="3" r:id="rId3"/>
    <sheet name="sem 35" sheetId="7" r:id="rId4"/>
    <sheet name="sem 36" sheetId="8" r:id="rId5"/>
    <sheet name="sem 37" sheetId="11" r:id="rId6"/>
    <sheet name="sem 38" sheetId="13" r:id="rId7"/>
    <sheet name="sem 39" sheetId="15" r:id="rId8"/>
    <sheet name="sem 40" sheetId="17" r:id="rId9"/>
    <sheet name="sem 41" sheetId="20" r:id="rId10"/>
    <sheet name="sem 42" sheetId="21" r:id="rId11"/>
    <sheet name="DETALLE MERMAS sem 42 " sheetId="18" r:id="rId12"/>
  </sheets>
  <externalReferences>
    <externalReference r:id="rId13"/>
  </externalReferences>
  <definedNames>
    <definedName name="_xlnm._FilterDatabase" localSheetId="0" hidden="1">'sem 32'!$E$1:$M$1</definedName>
    <definedName name="_xlnm._FilterDatabase" localSheetId="1" hidden="1">'sem 33'!$D$1:$L$1</definedName>
    <definedName name="_xlnm._FilterDatabase" localSheetId="2" hidden="1">'sem 34'!$E$1:$M$1</definedName>
    <definedName name="_xlnm._FilterDatabase" localSheetId="3" hidden="1">'sem 35'!$E$1:$N$1</definedName>
    <definedName name="_xlnm._FilterDatabase" localSheetId="4" hidden="1">'sem 36'!$E$1:$N$1</definedName>
    <definedName name="_xlnm._FilterDatabase" localSheetId="5" hidden="1">'sem 37'!$E$1:$N$1</definedName>
    <definedName name="_xlnm._FilterDatabase" localSheetId="6" hidden="1">'sem 38'!$E$1:$N$1</definedName>
    <definedName name="_xlnm._FilterDatabase" localSheetId="7" hidden="1">'sem 39'!$E$1:$N$1</definedName>
    <definedName name="_xlnm._FilterDatabase" localSheetId="8" hidden="1">'sem 40'!$E$1:$N$1</definedName>
    <definedName name="_xlnm._FilterDatabase" localSheetId="9" hidden="1">'sem 41'!$E$1:$M$1</definedName>
    <definedName name="_xlnm._FilterDatabase" localSheetId="10" hidden="1">'sem 42'!$E$1:$M$1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1" l="1"/>
  <c r="L3" i="21"/>
  <c r="L4" i="21"/>
  <c r="B5" i="21"/>
  <c r="L5" i="21"/>
  <c r="B6" i="21"/>
  <c r="L6" i="21"/>
  <c r="B7" i="21"/>
  <c r="L7" i="21"/>
  <c r="B8" i="21"/>
  <c r="L8" i="21"/>
  <c r="M8" i="21"/>
  <c r="B9" i="21"/>
  <c r="L9" i="21"/>
  <c r="M9" i="21"/>
  <c r="B10" i="21"/>
  <c r="B11" i="21" s="1"/>
  <c r="L10" i="21"/>
  <c r="M10" i="21"/>
  <c r="L11" i="21"/>
  <c r="M11" i="21"/>
  <c r="L12" i="21"/>
  <c r="M12" i="21"/>
  <c r="L13" i="21"/>
  <c r="M13" i="21"/>
  <c r="B14" i="21"/>
  <c r="L14" i="21"/>
  <c r="M14" i="21"/>
  <c r="B15" i="21"/>
  <c r="L15" i="21"/>
  <c r="M15" i="21"/>
  <c r="L16" i="21"/>
  <c r="M16" i="21"/>
  <c r="L17" i="21"/>
  <c r="M17" i="21"/>
  <c r="L18" i="21"/>
  <c r="M18" i="21"/>
  <c r="L19" i="21"/>
  <c r="M19" i="21"/>
  <c r="L20" i="21"/>
  <c r="M20" i="21"/>
  <c r="L21" i="21"/>
  <c r="M21" i="21"/>
  <c r="L22" i="21"/>
  <c r="M22" i="21"/>
  <c r="L23" i="21"/>
  <c r="M23" i="21"/>
  <c r="L24" i="21"/>
  <c r="M24" i="21"/>
  <c r="L25" i="21"/>
  <c r="M25" i="21"/>
  <c r="L26" i="21"/>
  <c r="M26" i="21"/>
  <c r="L27" i="21"/>
  <c r="M27" i="21"/>
  <c r="L28" i="21"/>
  <c r="M28" i="21"/>
  <c r="L29" i="21"/>
  <c r="M29" i="21"/>
  <c r="L30" i="21"/>
  <c r="M30" i="21"/>
  <c r="L31" i="21"/>
  <c r="M31" i="21"/>
  <c r="L32" i="21"/>
  <c r="M32" i="21"/>
  <c r="L33" i="21"/>
  <c r="M33" i="21"/>
  <c r="L34" i="21"/>
  <c r="M34" i="21"/>
  <c r="L35" i="21"/>
  <c r="M35" i="21"/>
  <c r="L36" i="21"/>
  <c r="M36" i="21"/>
  <c r="L37" i="21"/>
  <c r="M37" i="21"/>
  <c r="L38" i="21"/>
  <c r="M38" i="21"/>
  <c r="L39" i="21"/>
  <c r="M39" i="21"/>
  <c r="L40" i="21"/>
  <c r="M40" i="21"/>
  <c r="L41" i="21"/>
  <c r="M41" i="21"/>
  <c r="L42" i="21"/>
  <c r="M42" i="21"/>
  <c r="L43" i="21"/>
  <c r="M43" i="21"/>
  <c r="L44" i="21"/>
  <c r="M44" i="21"/>
  <c r="L45" i="21"/>
  <c r="M45" i="21"/>
  <c r="L46" i="21"/>
  <c r="M46" i="21"/>
  <c r="L47" i="21"/>
  <c r="M47" i="21"/>
  <c r="L48" i="21"/>
  <c r="M48" i="21"/>
  <c r="L49" i="21"/>
  <c r="M49" i="21"/>
  <c r="L50" i="21"/>
  <c r="M50" i="21"/>
  <c r="L51" i="21"/>
  <c r="M51" i="21"/>
  <c r="L52" i="21"/>
  <c r="M52" i="21"/>
  <c r="L53" i="21"/>
  <c r="M53" i="21"/>
  <c r="L54" i="21"/>
  <c r="M54" i="21"/>
  <c r="L55" i="21"/>
  <c r="M55" i="21"/>
  <c r="L56" i="21"/>
  <c r="M56" i="21"/>
  <c r="L57" i="21"/>
  <c r="M57" i="21"/>
  <c r="L58" i="21"/>
  <c r="M58" i="21"/>
  <c r="L59" i="21"/>
  <c r="M59" i="21"/>
  <c r="L60" i="21"/>
  <c r="M60" i="21"/>
  <c r="L61" i="21"/>
  <c r="M61" i="21"/>
  <c r="L62" i="21"/>
  <c r="M62" i="21"/>
  <c r="L63" i="21"/>
  <c r="M63" i="21"/>
  <c r="L64" i="21"/>
  <c r="M64" i="21"/>
  <c r="L65" i="21"/>
  <c r="M65" i="21"/>
  <c r="L66" i="21"/>
  <c r="M66" i="21"/>
  <c r="L67" i="21"/>
  <c r="M67" i="21"/>
  <c r="L68" i="21"/>
  <c r="M68" i="21"/>
  <c r="L69" i="21"/>
  <c r="M69" i="21"/>
  <c r="L70" i="21"/>
  <c r="M70" i="21"/>
  <c r="L71" i="21"/>
  <c r="M71" i="21"/>
  <c r="L72" i="21"/>
  <c r="M72" i="21"/>
  <c r="L73" i="21"/>
  <c r="M73" i="21"/>
  <c r="L74" i="21"/>
  <c r="M74" i="21"/>
  <c r="L2" i="20"/>
  <c r="L3" i="20"/>
  <c r="L4" i="20"/>
  <c r="B5" i="20"/>
  <c r="L5" i="20"/>
  <c r="B6" i="20"/>
  <c r="L6" i="20"/>
  <c r="B7" i="20"/>
  <c r="L7" i="20"/>
  <c r="B8" i="20"/>
  <c r="L8" i="20"/>
  <c r="L9" i="20"/>
  <c r="L10" i="20"/>
  <c r="M10" i="20"/>
  <c r="L11" i="20"/>
  <c r="M11" i="20"/>
  <c r="L12" i="20"/>
  <c r="M12" i="20"/>
  <c r="L13" i="20"/>
  <c r="M13" i="20"/>
  <c r="B14" i="20"/>
  <c r="L14" i="20"/>
  <c r="M14" i="20"/>
  <c r="L15" i="20"/>
  <c r="B10" i="20" s="1"/>
  <c r="B11" i="20" s="1"/>
  <c r="M15" i="20"/>
  <c r="L16" i="20"/>
  <c r="M16" i="20"/>
  <c r="L17" i="20"/>
  <c r="M17" i="20"/>
  <c r="L18" i="20"/>
  <c r="M18" i="20"/>
  <c r="L19" i="20"/>
  <c r="M19" i="20"/>
  <c r="L20" i="20"/>
  <c r="M20" i="20"/>
  <c r="L21" i="20"/>
  <c r="M21" i="20"/>
  <c r="L22" i="20"/>
  <c r="M22" i="20"/>
  <c r="L23" i="20"/>
  <c r="M23" i="20"/>
  <c r="L24" i="20"/>
  <c r="M24" i="20"/>
  <c r="L25" i="20"/>
  <c r="M25" i="20"/>
  <c r="L26" i="20"/>
  <c r="M26" i="20"/>
  <c r="L27" i="20"/>
  <c r="M27" i="20"/>
  <c r="L28" i="20"/>
  <c r="M28" i="20"/>
  <c r="L29" i="20"/>
  <c r="M29" i="20"/>
  <c r="L30" i="20"/>
  <c r="M30" i="20"/>
  <c r="L31" i="20"/>
  <c r="M31" i="20"/>
  <c r="L32" i="20"/>
  <c r="M32" i="20"/>
  <c r="L33" i="20"/>
  <c r="M33" i="20"/>
  <c r="L34" i="20"/>
  <c r="M34" i="20"/>
  <c r="L35" i="20"/>
  <c r="M35" i="20"/>
  <c r="L36" i="20"/>
  <c r="M36" i="20"/>
  <c r="L37" i="20"/>
  <c r="M37" i="20"/>
  <c r="L38" i="20"/>
  <c r="M38" i="20"/>
  <c r="L39" i="20"/>
  <c r="M39" i="20"/>
  <c r="L40" i="20"/>
  <c r="M40" i="20"/>
  <c r="L41" i="20"/>
  <c r="M41" i="20"/>
  <c r="L42" i="20"/>
  <c r="M42" i="20"/>
  <c r="L43" i="20"/>
  <c r="M43" i="20"/>
  <c r="L44" i="20"/>
  <c r="M44" i="20"/>
  <c r="L45" i="20"/>
  <c r="M45" i="20"/>
  <c r="L46" i="20"/>
  <c r="M46" i="20"/>
  <c r="L47" i="20"/>
  <c r="M47" i="20"/>
  <c r="L48" i="20"/>
  <c r="M48" i="20"/>
  <c r="L49" i="20"/>
  <c r="M49" i="20"/>
  <c r="L50" i="20"/>
  <c r="M50" i="20"/>
  <c r="L51" i="20"/>
  <c r="M51" i="20"/>
  <c r="L52" i="20"/>
  <c r="M52" i="20"/>
  <c r="L53" i="20"/>
  <c r="M53" i="20"/>
  <c r="L54" i="20"/>
  <c r="M54" i="20"/>
  <c r="L55" i="20"/>
  <c r="M55" i="20"/>
  <c r="L56" i="20"/>
  <c r="M56" i="20"/>
  <c r="L57" i="20"/>
  <c r="M57" i="20"/>
  <c r="L58" i="20"/>
  <c r="M58" i="20"/>
  <c r="L59" i="20"/>
  <c r="M59" i="20"/>
  <c r="L60" i="20"/>
  <c r="M60" i="20"/>
  <c r="L61" i="20"/>
  <c r="M61" i="20"/>
  <c r="L62" i="20"/>
  <c r="M62" i="20"/>
  <c r="L63" i="20"/>
  <c r="M63" i="20"/>
  <c r="L64" i="20"/>
  <c r="M64" i="20"/>
  <c r="L65" i="20"/>
  <c r="M65" i="20"/>
  <c r="L66" i="20"/>
  <c r="M66" i="20"/>
  <c r="G2" i="18"/>
  <c r="G6" i="18"/>
  <c r="G13" i="18"/>
  <c r="G19" i="18"/>
  <c r="E21" i="18" s="1"/>
  <c r="G23" i="18"/>
  <c r="G31" i="18"/>
  <c r="G39" i="18"/>
  <c r="G45" i="18"/>
  <c r="E48" i="18" s="1"/>
  <c r="G50" i="18"/>
  <c r="E52" i="18" s="1"/>
  <c r="L2" i="17"/>
  <c r="L3" i="17"/>
  <c r="L4" i="17"/>
  <c r="B5" i="17"/>
  <c r="L5" i="17"/>
  <c r="B6" i="17"/>
  <c r="L6" i="17"/>
  <c r="B7" i="17"/>
  <c r="L7" i="17"/>
  <c r="B8" i="17"/>
  <c r="L8" i="17"/>
  <c r="M8" i="17"/>
  <c r="B9" i="17"/>
  <c r="L9" i="17"/>
  <c r="M9" i="17"/>
  <c r="B10" i="17"/>
  <c r="B11" i="17" s="1"/>
  <c r="L10" i="17"/>
  <c r="M10" i="17"/>
  <c r="L11" i="17"/>
  <c r="M11" i="17"/>
  <c r="L12" i="17"/>
  <c r="M12" i="17"/>
  <c r="L13" i="17"/>
  <c r="M13" i="17"/>
  <c r="B14" i="17"/>
  <c r="L14" i="17"/>
  <c r="M14" i="17"/>
  <c r="B15" i="17"/>
  <c r="L15" i="17"/>
  <c r="M15" i="17"/>
  <c r="L16" i="17"/>
  <c r="M16" i="17"/>
  <c r="L17" i="17"/>
  <c r="M17" i="17"/>
  <c r="L18" i="17"/>
  <c r="M18" i="17"/>
  <c r="L19" i="17"/>
  <c r="M19" i="17"/>
  <c r="L20" i="17"/>
  <c r="M20" i="17"/>
  <c r="L21" i="17"/>
  <c r="M21" i="17"/>
  <c r="L22" i="17"/>
  <c r="M22" i="17"/>
  <c r="L23" i="17"/>
  <c r="M23" i="17"/>
  <c r="L24" i="17"/>
  <c r="M24" i="17"/>
  <c r="L25" i="17"/>
  <c r="M25" i="17"/>
  <c r="L26" i="17"/>
  <c r="M26" i="17"/>
  <c r="L27" i="17"/>
  <c r="M27" i="17"/>
  <c r="L28" i="17"/>
  <c r="M28" i="17"/>
  <c r="L29" i="17"/>
  <c r="M29" i="17"/>
  <c r="L30" i="17"/>
  <c r="M30" i="17"/>
  <c r="L31" i="17"/>
  <c r="M31" i="17"/>
  <c r="L32" i="17"/>
  <c r="M32" i="17"/>
  <c r="L33" i="17"/>
  <c r="M33" i="17"/>
  <c r="L34" i="17"/>
  <c r="M34" i="17"/>
  <c r="L35" i="17"/>
  <c r="M35" i="17"/>
  <c r="L36" i="17"/>
  <c r="M36" i="17"/>
  <c r="L37" i="17"/>
  <c r="M37" i="17"/>
  <c r="L38" i="17"/>
  <c r="M38" i="17"/>
  <c r="L39" i="17"/>
  <c r="M39" i="17"/>
  <c r="L40" i="17"/>
  <c r="M40" i="17"/>
  <c r="L41" i="17"/>
  <c r="M41" i="17"/>
  <c r="L42" i="17"/>
  <c r="M42" i="17"/>
  <c r="L43" i="17"/>
  <c r="M43" i="17"/>
  <c r="L44" i="17"/>
  <c r="M44" i="17"/>
  <c r="L45" i="17"/>
  <c r="M45" i="17"/>
  <c r="L46" i="17"/>
  <c r="M46" i="17"/>
  <c r="L47" i="17"/>
  <c r="M47" i="17"/>
  <c r="L48" i="17"/>
  <c r="M48" i="17"/>
  <c r="L49" i="17"/>
  <c r="M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M85" i="17"/>
  <c r="L86" i="17"/>
  <c r="M86" i="17"/>
  <c r="L2" i="15"/>
  <c r="L3" i="15"/>
  <c r="L4" i="15"/>
  <c r="B5" i="15"/>
  <c r="L5" i="15"/>
  <c r="B6" i="15"/>
  <c r="L6" i="15"/>
  <c r="B7" i="15"/>
  <c r="L7" i="15"/>
  <c r="B8" i="15"/>
  <c r="L8" i="15"/>
  <c r="L9" i="15"/>
  <c r="B10" i="15"/>
  <c r="B11" i="15" s="1"/>
  <c r="L10" i="15"/>
  <c r="M10" i="15"/>
  <c r="L11" i="15"/>
  <c r="M11" i="15"/>
  <c r="L12" i="15"/>
  <c r="M12" i="15"/>
  <c r="L13" i="15"/>
  <c r="M13" i="15"/>
  <c r="B14" i="15"/>
  <c r="L14" i="15"/>
  <c r="M14" i="15"/>
  <c r="L15" i="15"/>
  <c r="M15" i="15"/>
  <c r="L16" i="15"/>
  <c r="M16" i="15"/>
  <c r="L17" i="15"/>
  <c r="M17" i="15"/>
  <c r="L18" i="15"/>
  <c r="M18" i="15"/>
  <c r="L19" i="15"/>
  <c r="M19" i="15"/>
  <c r="L20" i="15"/>
  <c r="M20" i="15"/>
  <c r="L21" i="15"/>
  <c r="M21" i="15"/>
  <c r="L22" i="15"/>
  <c r="M22" i="15"/>
  <c r="L23" i="15"/>
  <c r="M23" i="15"/>
  <c r="L24" i="15"/>
  <c r="M24" i="15"/>
  <c r="L25" i="15"/>
  <c r="M25" i="15"/>
  <c r="L26" i="15"/>
  <c r="M26" i="15"/>
  <c r="L27" i="15"/>
  <c r="M27" i="15"/>
  <c r="L28" i="15"/>
  <c r="M28" i="15"/>
  <c r="L29" i="15"/>
  <c r="M29" i="15"/>
  <c r="L30" i="15"/>
  <c r="M30" i="15"/>
  <c r="L31" i="15"/>
  <c r="M31" i="15"/>
  <c r="L32" i="15"/>
  <c r="M32" i="15"/>
  <c r="L33" i="15"/>
  <c r="M33" i="15"/>
  <c r="L34" i="15"/>
  <c r="M34" i="15"/>
  <c r="L35" i="15"/>
  <c r="M35" i="15"/>
  <c r="L36" i="15"/>
  <c r="M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B10" i="13"/>
  <c r="B11" i="13" s="1"/>
  <c r="B5" i="13"/>
  <c r="B6" i="13"/>
  <c r="B7" i="13"/>
  <c r="B8" i="13"/>
  <c r="L2" i="11"/>
  <c r="L3" i="11"/>
  <c r="L4" i="11"/>
  <c r="B5" i="11"/>
  <c r="L5" i="11"/>
  <c r="B6" i="11"/>
  <c r="L6" i="11"/>
  <c r="B7" i="11"/>
  <c r="L7" i="11"/>
  <c r="B8" i="11"/>
  <c r="L8" i="11"/>
  <c r="L9" i="11"/>
  <c r="B10" i="11"/>
  <c r="B11" i="11" s="1"/>
  <c r="L10" i="11"/>
  <c r="M10" i="11"/>
  <c r="L11" i="11"/>
  <c r="M11" i="11"/>
  <c r="L12" i="11"/>
  <c r="M12" i="11"/>
  <c r="L13" i="11"/>
  <c r="M13" i="11"/>
  <c r="B14" i="11"/>
  <c r="L14" i="11"/>
  <c r="M14" i="11"/>
  <c r="L15" i="11"/>
  <c r="M15" i="11"/>
  <c r="L16" i="11"/>
  <c r="M16" i="11"/>
  <c r="L17" i="11"/>
  <c r="M17" i="11"/>
  <c r="L18" i="11"/>
  <c r="M18" i="11"/>
  <c r="L19" i="11"/>
  <c r="M19" i="11"/>
  <c r="L20" i="11"/>
  <c r="M20" i="11"/>
  <c r="L21" i="11"/>
  <c r="M21" i="11"/>
  <c r="L22" i="11"/>
  <c r="M22" i="11"/>
  <c r="L23" i="11"/>
  <c r="M23" i="11"/>
  <c r="L24" i="11"/>
  <c r="M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B9" i="8"/>
  <c r="B15" i="8"/>
  <c r="B14" i="8"/>
  <c r="B6" i="8"/>
  <c r="B11" i="8"/>
  <c r="B10" i="8"/>
  <c r="B5" i="8"/>
  <c r="B7" i="8"/>
  <c r="B8" i="8"/>
  <c r="M21" i="8"/>
  <c r="B14" i="7"/>
  <c r="B5" i="7"/>
  <c r="B6" i="7"/>
  <c r="B7" i="7"/>
  <c r="B8" i="7"/>
  <c r="B10" i="7"/>
  <c r="B11" i="7" s="1"/>
  <c r="M11" i="7"/>
  <c r="M12" i="7"/>
  <c r="M13" i="7"/>
  <c r="M14" i="7"/>
  <c r="M15" i="7"/>
  <c r="M16" i="7"/>
  <c r="M17" i="7"/>
  <c r="M18" i="7"/>
  <c r="B5" i="4"/>
  <c r="B6" i="4"/>
  <c r="B7" i="4"/>
  <c r="B8" i="4"/>
  <c r="B10" i="4"/>
  <c r="B11" i="4" s="1"/>
  <c r="M10" i="4"/>
  <c r="M11" i="4"/>
  <c r="M12" i="4"/>
  <c r="M13" i="4"/>
  <c r="B14" i="4"/>
  <c r="M14" i="4"/>
  <c r="M15" i="4"/>
  <c r="B5" i="3"/>
  <c r="B6" i="3"/>
  <c r="B7" i="3"/>
  <c r="B8" i="3"/>
  <c r="B10" i="3"/>
  <c r="B11" i="3" s="1"/>
  <c r="B5" i="2"/>
  <c r="B6" i="2"/>
  <c r="B7" i="2"/>
  <c r="B8" i="2"/>
  <c r="B10" i="2"/>
  <c r="B11" i="2" s="1"/>
  <c r="M2" i="21" l="1"/>
  <c r="M3" i="21"/>
  <c r="M5" i="21"/>
  <c r="M4" i="21"/>
  <c r="M6" i="21"/>
  <c r="M7" i="21"/>
  <c r="E26" i="18"/>
  <c r="E27" i="18"/>
  <c r="E28" i="18"/>
  <c r="E29" i="18"/>
  <c r="E25" i="18"/>
  <c r="E35" i="18"/>
  <c r="E36" i="18"/>
  <c r="E42" i="18"/>
  <c r="E43" i="18"/>
  <c r="M3" i="20"/>
  <c r="M9" i="20"/>
  <c r="M5" i="20"/>
  <c r="M6" i="20"/>
  <c r="M2" i="20"/>
  <c r="M4" i="20"/>
  <c r="M8" i="20"/>
  <c r="B9" i="20"/>
  <c r="B15" i="20" s="1"/>
  <c r="M7" i="20"/>
  <c r="E2" i="18"/>
  <c r="E4" i="18"/>
  <c r="E3" i="18"/>
  <c r="E6" i="18"/>
  <c r="E7" i="18"/>
  <c r="E8" i="18"/>
  <c r="E9" i="18"/>
  <c r="E10" i="18"/>
  <c r="E14" i="18"/>
  <c r="E16" i="18"/>
  <c r="E17" i="18"/>
  <c r="E13" i="18"/>
  <c r="E15" i="18"/>
  <c r="E19" i="18"/>
  <c r="E20" i="18"/>
  <c r="E24" i="18"/>
  <c r="E23" i="18"/>
  <c r="E32" i="18"/>
  <c r="E34" i="18"/>
  <c r="E31" i="18"/>
  <c r="E33" i="18"/>
  <c r="E39" i="18"/>
  <c r="E41" i="18"/>
  <c r="E40" i="18"/>
  <c r="E45" i="18"/>
  <c r="E47" i="18"/>
  <c r="E46" i="18"/>
  <c r="E51" i="18"/>
  <c r="E50" i="18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5" i="17"/>
  <c r="M6" i="17"/>
  <c r="M2" i="17"/>
  <c r="M4" i="17"/>
  <c r="M3" i="17"/>
  <c r="M7" i="17"/>
  <c r="M2" i="15"/>
  <c r="M3" i="15"/>
  <c r="M4" i="15"/>
  <c r="M6" i="15"/>
  <c r="M8" i="15"/>
  <c r="M9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85" i="15"/>
  <c r="M86" i="15"/>
  <c r="M87" i="15"/>
  <c r="M88" i="15"/>
  <c r="M77" i="15"/>
  <c r="M78" i="15"/>
  <c r="M79" i="15"/>
  <c r="M80" i="15"/>
  <c r="M81" i="15"/>
  <c r="M82" i="15"/>
  <c r="M83" i="15"/>
  <c r="M84" i="15"/>
  <c r="M89" i="15"/>
  <c r="M90" i="15"/>
  <c r="B9" i="15"/>
  <c r="B15" i="15" s="1"/>
  <c r="M5" i="15"/>
  <c r="M7" i="15"/>
  <c r="M2" i="13"/>
  <c r="M10" i="13"/>
  <c r="B14" i="13"/>
  <c r="M15" i="13"/>
  <c r="M18" i="13"/>
  <c r="M20" i="13"/>
  <c r="M23" i="13"/>
  <c r="M25" i="13"/>
  <c r="M28" i="13"/>
  <c r="M30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11" i="13"/>
  <c r="M12" i="13"/>
  <c r="M13" i="13"/>
  <c r="M14" i="13"/>
  <c r="M16" i="13"/>
  <c r="M17" i="13"/>
  <c r="M19" i="13"/>
  <c r="M21" i="13"/>
  <c r="M22" i="13"/>
  <c r="M24" i="13"/>
  <c r="M26" i="13"/>
  <c r="M27" i="13"/>
  <c r="M29" i="13"/>
  <c r="M31" i="13"/>
  <c r="M9" i="13"/>
  <c r="M3" i="13"/>
  <c r="M4" i="13"/>
  <c r="M59" i="13"/>
  <c r="M60" i="13"/>
  <c r="M61" i="13"/>
  <c r="M8" i="13"/>
  <c r="B9" i="13"/>
  <c r="B15" i="13" s="1"/>
  <c r="M5" i="13"/>
  <c r="M6" i="13"/>
  <c r="M7" i="13"/>
  <c r="M4" i="11"/>
  <c r="M7" i="11"/>
  <c r="M8" i="11"/>
  <c r="M9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2" i="11"/>
  <c r="M3" i="11"/>
  <c r="M5" i="11"/>
  <c r="M6" i="11"/>
  <c r="B9" i="11"/>
  <c r="B15" i="11" s="1"/>
  <c r="M2" i="8"/>
  <c r="M3" i="8"/>
  <c r="M4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61" i="7"/>
  <c r="M63" i="7"/>
  <c r="M65" i="7"/>
  <c r="M6" i="7"/>
  <c r="M10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2" i="7"/>
  <c r="M64" i="7"/>
  <c r="M7" i="7"/>
  <c r="M3" i="7"/>
  <c r="M4" i="7"/>
  <c r="M5" i="7"/>
  <c r="M8" i="7"/>
  <c r="B9" i="7"/>
  <c r="B15" i="7" s="1"/>
  <c r="M9" i="7"/>
  <c r="M2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40" i="4"/>
  <c r="M42" i="4"/>
  <c r="M44" i="4"/>
  <c r="M46" i="4"/>
  <c r="M48" i="4"/>
  <c r="M50" i="4"/>
  <c r="M52" i="4"/>
  <c r="M53" i="4"/>
  <c r="M55" i="4"/>
  <c r="M56" i="4"/>
  <c r="M58" i="4"/>
  <c r="M60" i="4"/>
  <c r="M61" i="4"/>
  <c r="M64" i="4"/>
  <c r="M66" i="4"/>
  <c r="M68" i="4"/>
  <c r="M71" i="4"/>
  <c r="M73" i="4"/>
  <c r="M75" i="4"/>
  <c r="M39" i="4"/>
  <c r="M41" i="4"/>
  <c r="M43" i="4"/>
  <c r="M45" i="4"/>
  <c r="M47" i="4"/>
  <c r="M49" i="4"/>
  <c r="M51" i="4"/>
  <c r="M54" i="4"/>
  <c r="M57" i="4"/>
  <c r="M59" i="4"/>
  <c r="M63" i="4"/>
  <c r="M67" i="4"/>
  <c r="M70" i="4"/>
  <c r="M74" i="4"/>
  <c r="M76" i="4"/>
  <c r="M7" i="4"/>
  <c r="M62" i="4"/>
  <c r="M65" i="4"/>
  <c r="M69" i="4"/>
  <c r="M72" i="4"/>
  <c r="M6" i="4"/>
  <c r="M3" i="4"/>
  <c r="M4" i="4"/>
  <c r="M5" i="4"/>
  <c r="M8" i="4"/>
  <c r="B9" i="4"/>
  <c r="B15" i="4" s="1"/>
  <c r="M9" i="4"/>
  <c r="M2" i="3"/>
  <c r="M3" i="3"/>
  <c r="M4" i="3"/>
  <c r="M5" i="3"/>
  <c r="M16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9" i="3"/>
  <c r="M50" i="3"/>
  <c r="M51" i="3"/>
  <c r="M52" i="3"/>
  <c r="M53" i="3"/>
  <c r="M54" i="3"/>
  <c r="M55" i="3"/>
  <c r="M56" i="3"/>
  <c r="M57" i="3"/>
  <c r="M58" i="3"/>
  <c r="M59" i="3"/>
  <c r="M61" i="3"/>
  <c r="M63" i="3"/>
  <c r="M65" i="3"/>
  <c r="M67" i="3"/>
  <c r="M69" i="3"/>
  <c r="M71" i="3"/>
  <c r="M73" i="3"/>
  <c r="M75" i="3"/>
  <c r="M77" i="3"/>
  <c r="M78" i="3"/>
  <c r="M79" i="3"/>
  <c r="M80" i="3"/>
  <c r="M81" i="3"/>
  <c r="M83" i="3"/>
  <c r="M85" i="3"/>
  <c r="M87" i="3"/>
  <c r="M89" i="3"/>
  <c r="M91" i="3"/>
  <c r="M96" i="3"/>
  <c r="M99" i="3"/>
  <c r="M102" i="3"/>
  <c r="M104" i="3"/>
  <c r="M48" i="3"/>
  <c r="M60" i="3"/>
  <c r="M62" i="3"/>
  <c r="M64" i="3"/>
  <c r="M66" i="3"/>
  <c r="M68" i="3"/>
  <c r="M70" i="3"/>
  <c r="M72" i="3"/>
  <c r="M74" i="3"/>
  <c r="M76" i="3"/>
  <c r="M82" i="3"/>
  <c r="M84" i="3"/>
  <c r="M88" i="3"/>
  <c r="M90" i="3"/>
  <c r="M92" i="3"/>
  <c r="M93" i="3"/>
  <c r="M94" i="3"/>
  <c r="M95" i="3"/>
  <c r="M97" i="3"/>
  <c r="M98" i="3"/>
  <c r="M100" i="3"/>
  <c r="M103" i="3"/>
  <c r="M105" i="3"/>
  <c r="M7" i="3"/>
  <c r="M9" i="3"/>
  <c r="M86" i="3"/>
  <c r="B9" i="3"/>
  <c r="B15" i="3" s="1"/>
  <c r="M10" i="3"/>
  <c r="M11" i="3"/>
  <c r="M13" i="3"/>
  <c r="M15" i="3"/>
  <c r="M18" i="3"/>
  <c r="M101" i="3"/>
  <c r="M12" i="3"/>
  <c r="B14" i="3"/>
  <c r="M8" i="3"/>
  <c r="M14" i="3"/>
  <c r="M6" i="3"/>
  <c r="M17" i="3"/>
  <c r="L2" i="2"/>
  <c r="L4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8" i="2"/>
  <c r="B9" i="2"/>
  <c r="B15" i="2" s="1"/>
  <c r="L10" i="2"/>
  <c r="L9" i="2"/>
  <c r="L11" i="2"/>
  <c r="L12" i="2"/>
  <c r="L13" i="2"/>
  <c r="B14" i="2"/>
  <c r="L14" i="2"/>
  <c r="L15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6" i="2"/>
  <c r="L87" i="2"/>
  <c r="L88" i="2"/>
  <c r="L89" i="2"/>
  <c r="L90" i="2"/>
  <c r="L91" i="2"/>
  <c r="L3" i="2"/>
  <c r="L5" i="2"/>
  <c r="L7" i="2"/>
</calcChain>
</file>

<file path=xl/sharedStrings.xml><?xml version="1.0" encoding="utf-8"?>
<sst xmlns="http://schemas.openxmlformats.org/spreadsheetml/2006/main" count="1890" uniqueCount="516">
  <si>
    <t>ALISERVICE</t>
  </si>
  <si>
    <t>VPP140MIC280CLBB</t>
  </si>
  <si>
    <t>SUPER</t>
  </si>
  <si>
    <t>VTFBSTR140CLPS5CG</t>
  </si>
  <si>
    <t>VSK190NATICG</t>
  </si>
  <si>
    <t>COMERCIAL PROGRESO</t>
  </si>
  <si>
    <t>VPP140MIC200CLBB</t>
  </si>
  <si>
    <t>LA FAVORITA</t>
  </si>
  <si>
    <t>TRIPA PLASTICA - PCS - 118MM WHITE - CORRUGADO</t>
  </si>
  <si>
    <t>PINCHEIRA</t>
  </si>
  <si>
    <t>GENERICO</t>
  </si>
  <si>
    <t>VPP1MBTPHN30U300CLBB</t>
  </si>
  <si>
    <t>CIAL</t>
  </si>
  <si>
    <t>VCK175RDCLCG</t>
  </si>
  <si>
    <t>TEMUCO</t>
  </si>
  <si>
    <t>VC5BP50U250CL400SCTF</t>
  </si>
  <si>
    <t>MRETERRARPX4880/600CC</t>
  </si>
  <si>
    <t>VC155P5220CLPSCG</t>
  </si>
  <si>
    <t>VC155P5250CLPSCG</t>
  </si>
  <si>
    <t>VSK190NACLCG</t>
  </si>
  <si>
    <t>COEXFLEX</t>
  </si>
  <si>
    <t>FTS-VPP1MB-30U300CLPSBB</t>
  </si>
  <si>
    <t>ESCUDERO</t>
  </si>
  <si>
    <t>VPP3SHR37AF370CLBB</t>
  </si>
  <si>
    <t>SOPRAVAL</t>
  </si>
  <si>
    <t>FSLIP90U447CLBB</t>
  </si>
  <si>
    <t>LOS MISIONEROS</t>
  </si>
  <si>
    <t>FTAB415CL60UAIOTPAFLBB</t>
  </si>
  <si>
    <t>LOMAS COLORADAS</t>
  </si>
  <si>
    <t>FTAB422CL175UVDPFDRGCBB</t>
  </si>
  <si>
    <t>MAFRISUR</t>
  </si>
  <si>
    <t>MAFRISUR - LOGO MAFRISUR 1 COLOR - 250X800MM CLEAR - SELLO CURVO</t>
  </si>
  <si>
    <t>VC155P5200CLPSCG</t>
  </si>
  <si>
    <t>LA CUAJADA</t>
  </si>
  <si>
    <t>VTFBSTR140CL500CC</t>
  </si>
  <si>
    <t>LOGO MAFRISUR 1 COLOR 200X375MM SELLO CURVO SKU 100138</t>
  </si>
  <si>
    <t>LOS COLONOS DEL NORTE</t>
  </si>
  <si>
    <t>VHRIP85U205CL300SR</t>
  </si>
  <si>
    <t>VC5IP50U200CL350SCTF</t>
  </si>
  <si>
    <t>VTFBSTR105CRMLPSCG</t>
  </si>
  <si>
    <t>MAFRISUR - LOGO MAFRISUR 1 COLOR - 250X350MM CLEAR - SELLO CURVO</t>
  </si>
  <si>
    <t>VPP1MBTPHN30U240CLBB</t>
  </si>
  <si>
    <t>VTFBSTR70CLCG</t>
  </si>
  <si>
    <t>LOGO MAFRISUR 1 COLOR 200X375MM SELLO CURVO SKU 100200</t>
  </si>
  <si>
    <t>VC5IP50U200CL400SCTF</t>
  </si>
  <si>
    <t>LA REYNA</t>
  </si>
  <si>
    <t>ARROLLADO HUASO CHILENO LA REYNA 200X350MM SC</t>
  </si>
  <si>
    <t>MAFRISUR - LOGO MAFRISUR 1 COLOR - 250X475MM CLEAR - SELLO CURVO</t>
  </si>
  <si>
    <t>LOGO MAFRISUR 1 COLOR 400X550MM SELLO CURVO SKU 100211</t>
  </si>
  <si>
    <t>LOGO FRANJA MOLLENDO 300X550MM SELLO CURVO - TEMUCO</t>
  </si>
  <si>
    <t>CADIZ Y ZUÑIGA</t>
  </si>
  <si>
    <t>ARROLLADO RAYEN CORTE CLIP PL 180X500MM</t>
  </si>
  <si>
    <t>PRIETA DE CERDO ESCUDERO 180X380 SELLO RECTO</t>
  </si>
  <si>
    <t>LO INFANTE</t>
  </si>
  <si>
    <t>AVC1-3375CL550SCTF</t>
  </si>
  <si>
    <t>PATITA RELLENA LA REYNA AIOP 157X500MM CLEAR CORTE CLIP</t>
  </si>
  <si>
    <t>TEMUCO - MOLLENDO - LOGO MOLLENDO 4C FRANJA - 200X350MM CLEAR - SELLO CURVO</t>
  </si>
  <si>
    <t>AVC1-345U375YE600SCTF</t>
  </si>
  <si>
    <t>LOGO MAFRISUR 350X550MM SELLO CURVO SKU 100208</t>
  </si>
  <si>
    <t>VEGAFRESH/CIAL</t>
  </si>
  <si>
    <t>VC5IP50U400CL550SCTF</t>
  </si>
  <si>
    <t>PROLESUR</t>
  </si>
  <si>
    <t>BOLSA TERMOCONTRAIBLE - VC5 - 400X700MM CLEAR - SELLO RECTO</t>
  </si>
  <si>
    <t>LOGO FRANJA MOLLENDO 400X600MM SELLO CURVO - TEMUCO</t>
  </si>
  <si>
    <t>OMEÑACA</t>
  </si>
  <si>
    <t>OMEÑACA - JAMON SANDWICH - CORRUGADO</t>
  </si>
  <si>
    <t>JAMON SANDWICH LA REYNA 180X500MM CORTE CLIP</t>
  </si>
  <si>
    <t>BOLSA HUESO PERNIL COCIDO ESCUDERO 200X380MM CLEAR SELLO RECTO</t>
  </si>
  <si>
    <t>LOGO MAFRISUR 1 COLOR 350X800MM SELLO CURVO SKU 100209</t>
  </si>
  <si>
    <t>MAFRISUR - MOLLENDO - LOGO MOLLENDO 4C FRANJA - 300X450MM CLEAR - SELLO CURVO</t>
  </si>
  <si>
    <t>VC5IP50U250CL400SCTF</t>
  </si>
  <si>
    <t>IKA</t>
  </si>
  <si>
    <t>VCX90U175CLAIOPS1400CC</t>
  </si>
  <si>
    <t>LOGO MAFRISUR 1 COLOR 300X550MM SELLO CURVO SKU 100207</t>
  </si>
  <si>
    <t>LOGO FRANJA MOLLENDO 230X750MM SELLO CURVO - TEMUCO</t>
  </si>
  <si>
    <t>VC5IP50U300CL450SCTF</t>
  </si>
  <si>
    <t>BOLSA TERMOCONTRAIBLE HUESO - VHR - 250X350MM CLEAR - SELLO RECTO</t>
  </si>
  <si>
    <t>LOGO FRANJA MOLLENDO 250X500MM SELLO CURVO - TEMUCO</t>
  </si>
  <si>
    <t>LOGO FRANJA MOLLENDO 250X350MM SELLO CURVO - MAFRISUR</t>
  </si>
  <si>
    <t>PF</t>
  </si>
  <si>
    <t>VC1IPS42U200CL475SCTP</t>
  </si>
  <si>
    <t>LOGO FRANJA MOLLENDO 4C 250X400MM SELLO CURVO - TEMUCO</t>
  </si>
  <si>
    <t>CIAL - SAN JORGE - FIAMBRE JAMON SANDWICH SIN GLUTEN</t>
  </si>
  <si>
    <t>ORBITA</t>
  </si>
  <si>
    <t>ORBITA ALIMENTOS - DON HERNAN - COSTILLAR AHUMADO DON HERNAN</t>
  </si>
  <si>
    <t>LOGO FRANJA MOLLENDO 230X450MM SELLO CURVO - TEMUCO</t>
  </si>
  <si>
    <t>LOGO FRANJA MOLLENDO 4C 250X500MM SELLO CURVO - TEMUCO</t>
  </si>
  <si>
    <t>ARROLLADO HUASO INDIVIDUAL ESCUDERO 160X200MM CORTE CUÑO</t>
  </si>
  <si>
    <t>SALCHICHON CERVEZA WINTER 1.6K - CORRUGADO</t>
  </si>
  <si>
    <t>LOGO MAFRISUR 1 COLOR 200X650 CLEAR SELLO CURVO SKU 100202</t>
  </si>
  <si>
    <t>SANDWICH SAN JORGE</t>
  </si>
  <si>
    <t>MAFRISUR - LOGO MAFRISUR 1 COLOR - 450X800MM CLEAR - SELLO CURVO VC5 SKU 100212</t>
  </si>
  <si>
    <t>vs 10-08</t>
  </si>
  <si>
    <t>MORTADELA FINA DE POLLO SUPER POLLO</t>
  </si>
  <si>
    <t>JAMON SANDWICH LA CRIANZA</t>
  </si>
  <si>
    <t>% OPS CON MERMA &gt;=5%</t>
  </si>
  <si>
    <t>OPS CON MERMA &gt;=5%</t>
  </si>
  <si>
    <t>PATE TERNERA SAN JORGE</t>
  </si>
  <si>
    <t>% MERMA PERIODO</t>
  </si>
  <si>
    <t>MT MERMA</t>
  </si>
  <si>
    <t>MINI SALCHICHON CERVEZA WINTER NUEVO SKU</t>
  </si>
  <si>
    <t>MT CONCRETADOS</t>
  </si>
  <si>
    <t>PASTA DE JAMON SAN JORGE</t>
  </si>
  <si>
    <t>MT PLANIF</t>
  </si>
  <si>
    <t>JAMONADA CENTENARIO</t>
  </si>
  <si>
    <t>OPS CERRADAS</t>
  </si>
  <si>
    <t>JAMON SANDWICH LC</t>
  </si>
  <si>
    <t>FIN</t>
  </si>
  <si>
    <t>PATE TERNERA SAN JORGE NUEVO SKU</t>
  </si>
  <si>
    <t>INICIO</t>
  </si>
  <si>
    <t>% MERMA VS PERIODO</t>
  </si>
  <si>
    <t>% MERMA</t>
  </si>
  <si>
    <t>MERMA MT</t>
  </si>
  <si>
    <t>CANTIDAD CIERRE MT</t>
  </si>
  <si>
    <t>CANTIDAD PLAN MT</t>
  </si>
  <si>
    <t>FECHA DE CIERRE</t>
  </si>
  <si>
    <t>CLIENTE</t>
  </si>
  <si>
    <t>PRODUCTO</t>
  </si>
  <si>
    <t>OP</t>
  </si>
  <si>
    <t>PERIODO</t>
  </si>
  <si>
    <t>TRIPA PLASTICA - PCS - 118MM CLEAR - CORRUGADO</t>
  </si>
  <si>
    <t>VPP140MIC170CLBB</t>
  </si>
  <si>
    <t>VALLE CENTRAL</t>
  </si>
  <si>
    <t>AVC1-2180CL300SCTF</t>
  </si>
  <si>
    <t>AIOP640U175CLCG</t>
  </si>
  <si>
    <t>VTFBSTR90CLPSCG</t>
  </si>
  <si>
    <t>COOKCHILL</t>
  </si>
  <si>
    <t>VPP3SHR37AF420CLBB</t>
  </si>
  <si>
    <t>VC155P5280CLPSCG</t>
  </si>
  <si>
    <t>VC155P4300CLPSCG</t>
  </si>
  <si>
    <t>JD000 JAMON PIERNA ACARAMELADO PF 280X420MM TAPE</t>
  </si>
  <si>
    <t>AVC1-2300CL350SCTF</t>
  </si>
  <si>
    <t>VTFBSTR90CRMLPSCG</t>
  </si>
  <si>
    <t>GSV</t>
  </si>
  <si>
    <t>VHRIP85U205CL500SR</t>
  </si>
  <si>
    <t>DON RODRIGO</t>
  </si>
  <si>
    <t>SCHWENCKE</t>
  </si>
  <si>
    <t>VHRIP85U250CL500SR</t>
  </si>
  <si>
    <t>VHRIP85U250CL400SR</t>
  </si>
  <si>
    <t>DELIPORK</t>
  </si>
  <si>
    <t>VTFBSTR140CL550CC</t>
  </si>
  <si>
    <t>VTFBSTR120CRMLPSCG</t>
  </si>
  <si>
    <t>FORTUNATA</t>
  </si>
  <si>
    <t>HFCC065200CL300SR</t>
  </si>
  <si>
    <t>BOLSA TERMOCONTRAIBLE - VC1 - 230X350MM CLEAR SELLO CURVO</t>
  </si>
  <si>
    <t>CARNES MAGALLANES</t>
  </si>
  <si>
    <t>VHRIP85U280CL600SR</t>
  </si>
  <si>
    <t>JEREZ PAVEZ</t>
  </si>
  <si>
    <t>BTC-VHR-280CL700SR</t>
  </si>
  <si>
    <t>SVC5280CL350SCTF</t>
  </si>
  <si>
    <t>CARNES DE SOLIS</t>
  </si>
  <si>
    <t>VC5IP50U200CL300SCTF</t>
  </si>
  <si>
    <t>MANGA PASTEURIZABLE - P5 - 250X350MM CLEAR - SELLO CURVO</t>
  </si>
  <si>
    <t>AVC1-2250CL350SCTF</t>
  </si>
  <si>
    <t>SOCIEDAD COMERCIAL RIVAS HERMANOS</t>
  </si>
  <si>
    <t>VC5IP50U350CL550SCTF</t>
  </si>
  <si>
    <t>VC5IP50U375CL600SCTF</t>
  </si>
  <si>
    <t>ACONFOODS</t>
  </si>
  <si>
    <t>VC5IP50U230CL450SCTF</t>
  </si>
  <si>
    <t>VC5IP50U400CL600SCTF</t>
  </si>
  <si>
    <t>LOGO MAFRISUR IP 1 COLOR 300X450MM SELLO CURVO SKU 100206</t>
  </si>
  <si>
    <t>BSH200C300DRCG</t>
  </si>
  <si>
    <t>BOLSA TERMOCONTRAIBLE - VC1 - 160X200MM CORTE CUÑO</t>
  </si>
  <si>
    <t>MEAT MASTER</t>
  </si>
  <si>
    <t>TPL-VCX-130CL950PSCC</t>
  </si>
  <si>
    <t>GA000 ARROLLADO HUASO PF CON AJI 200X510 SC TP</t>
  </si>
  <si>
    <t>MILLAR</t>
  </si>
  <si>
    <t>VC345MIC250CL475SR</t>
  </si>
  <si>
    <t>VC345MIC250CL400SR</t>
  </si>
  <si>
    <t>MAFRISUR - LOGO MAFRISUR 1 COLOR - 250X350MM CLEAR - SELLO CURVO VC5 | sku 100203</t>
  </si>
  <si>
    <t>BMC</t>
  </si>
  <si>
    <t>MOLIDA DE VACUNO MONTINA 250G</t>
  </si>
  <si>
    <t>PATE DE AVE SAN JORGE</t>
  </si>
  <si>
    <t>JAMON PLANCHADO SUPER POLLO CORRUGADO</t>
  </si>
  <si>
    <t>MOLIDA TRADICIONAL KING 250G. CORRUGADO</t>
  </si>
  <si>
    <t>ARROLLADO MALAYA ESCUDERO 200X350MM CORTE CUÑO</t>
  </si>
  <si>
    <t>COCE</t>
  </si>
  <si>
    <t>MORTADELA JAMONADA TRADICIONAL 2,3KG MONTINA ARTESANA (COCE) - BOBINA</t>
  </si>
  <si>
    <t>vs 17-08</t>
  </si>
  <si>
    <t>VTFBFLXR60CLCG</t>
  </si>
  <si>
    <t>SAN PABLO</t>
  </si>
  <si>
    <t>PATE SABOR TERNERA 125G FUNDO RIO ALEGRE- SAN PABLO CORRUGADO</t>
  </si>
  <si>
    <t>LISA SAN JORGE</t>
  </si>
  <si>
    <t>VTFBSTR120CLPSCG</t>
  </si>
  <si>
    <t>VTFBSTR105CLCG</t>
  </si>
  <si>
    <t>CARNES MONTES</t>
  </si>
  <si>
    <t>AVC1-2280CL450SRTF</t>
  </si>
  <si>
    <t>ALICANTO</t>
  </si>
  <si>
    <t>FTAB360CL63UAIOTPAFLBB</t>
  </si>
  <si>
    <t>PPSPLP6180CLCG</t>
  </si>
  <si>
    <t>FTMB70U555CLCHFBB</t>
  </si>
  <si>
    <t>MANGA FIBROSA COATED SMOKE CAL 75 CORRUGADA</t>
  </si>
  <si>
    <t>ARTEALIMENTOS</t>
  </si>
  <si>
    <t>HFCC100300CL500SR</t>
  </si>
  <si>
    <t>DON AMANCIO</t>
  </si>
  <si>
    <t>BOLSA TERMOCONTRAIBLE - VC1 - 250X430MM CLEAR - SELLO CURVO</t>
  </si>
  <si>
    <t>VCK160RDCLCG</t>
  </si>
  <si>
    <t>SALVIA</t>
  </si>
  <si>
    <t>VC1IPS42U250CL250SR</t>
  </si>
  <si>
    <t>COMERCIAL PAILLAHUE</t>
  </si>
  <si>
    <t>BOLSA TERMOCONTRAIBLE - VC5 - 200X240MM CLEAR - SELLO CURVO</t>
  </si>
  <si>
    <t>BOLSA TERMOCONTRAIBLE - VC1 - 250X470MM CLEAR - SELLO CURVO</t>
  </si>
  <si>
    <t>VC1IPS42U250CL450SR</t>
  </si>
  <si>
    <t>LOGO CARNES MONTES 1 COLOR 250X300MM</t>
  </si>
  <si>
    <t>SUA WURT</t>
  </si>
  <si>
    <t>BOLSA TERMOCONTRAIBLE - VC1 - 300X400MM CLEAR - SELLO CURVO</t>
  </si>
  <si>
    <t>ORBITA ALIMENTOS</t>
  </si>
  <si>
    <t>ORBITA ALIMENTOS - DON HERNAN - BUTIFARRA DON HERNAN - 180X350MM CLEAR - SELLO CURVO</t>
  </si>
  <si>
    <t>LOGO CARNES MONTES 1 COLOR 200X350MM</t>
  </si>
  <si>
    <t>LOGO CARNES MONTES 1 COLOR - 200X250MM CLEAR - SELLO CURVO</t>
  </si>
  <si>
    <t>VC1IPS42U250CL350SR</t>
  </si>
  <si>
    <t>VPP1MBTPHN30U280CLBB</t>
  </si>
  <si>
    <t>QUILACOYA</t>
  </si>
  <si>
    <t>VC1IPS42U200CL325SCTF</t>
  </si>
  <si>
    <t>COMERCIAL CASTRO</t>
  </si>
  <si>
    <t>CHORIZO PARRILLERO COMERCIAL CASTRO 200x340MM SELLO CURVO</t>
  </si>
  <si>
    <t>JAMON ACARAMELADO LA REYNA 2.4K 250X350MM SELLO CURVO</t>
  </si>
  <si>
    <t>VPP1MBTPHN30U250CLBB</t>
  </si>
  <si>
    <t>MULTICAPA 175MM . IMPRESA ROJO-CORRUGADO</t>
  </si>
  <si>
    <t>VENEZIA</t>
  </si>
  <si>
    <t>BOLSA TERMOCONTRAIBLE - VC1 - 230X340MM CLEAR - SELLO RECTO</t>
  </si>
  <si>
    <t>LONGANIZA CHILLANEJA COMERCIAL CASTRO</t>
  </si>
  <si>
    <t>FAENADORA DE CARNES VICTORIA</t>
  </si>
  <si>
    <t>VC5IP50U250CL450SCTF</t>
  </si>
  <si>
    <t>LOGO MAFRISUR 1 COLOR 200X500MM SELLO CURVO | SKU 100201</t>
  </si>
  <si>
    <t>LONGANIZA TRADICIONAL COMERCIAL CASTRO 200X400MM SELLO CURVO</t>
  </si>
  <si>
    <t>COMERCIAL DE CAMPO</t>
  </si>
  <si>
    <t>BTC-VC1-125CL230SRCU</t>
  </si>
  <si>
    <t>ORBITA ALIMENTOS - DON HERNAN - LONGANIZA TRADICIONAL - 180X350MM CLEAR - SELLO CURVO</t>
  </si>
  <si>
    <t>VTFBSTR165CL550CC</t>
  </si>
  <si>
    <t>MORTADELA JAMONADA DE POLLO SUPER POLLO</t>
  </si>
  <si>
    <t>MIGUEL BLEY</t>
  </si>
  <si>
    <t>MOLIDA ESPECIAL RUPANCO 250GR.</t>
  </si>
  <si>
    <t>SALCHICHON CERVECERO ESPECIAL RDA C100 - BOBINA / CMR05 PF 4</t>
  </si>
  <si>
    <t>CIAL - LA PREFERIDA - PECHUGA DE PAVO COCIDA SIN GLUTEN LA PREFERIDA - 250X420MM CLEAR - SELLO CURVO</t>
  </si>
  <si>
    <t>CERVEZA SAN JORGE</t>
  </si>
  <si>
    <t>vs 27-07</t>
  </si>
  <si>
    <t>JAMONADA LA CRIANZA</t>
  </si>
  <si>
    <t>FANDA</t>
  </si>
  <si>
    <t>FANDA - JAMON TIPO AMERICANO 2,6KG - 180MM CLEAR - CORRUGADO</t>
  </si>
  <si>
    <t>7 PRUEBAS</t>
  </si>
  <si>
    <t>UN</t>
  </si>
  <si>
    <t>MT</t>
  </si>
  <si>
    <t>MT / UN</t>
  </si>
  <si>
    <t>TOTAL</t>
  </si>
  <si>
    <t>Listado de Merma</t>
  </si>
  <si>
    <t xml:space="preserve">% </t>
  </si>
  <si>
    <t>Cantidad Desperdicio</t>
  </si>
  <si>
    <t>Descripción</t>
  </si>
  <si>
    <t>Producto</t>
  </si>
  <si>
    <t>COCE - PF - PATE DE JAMON 125G TE000 - BOBINA</t>
  </si>
  <si>
    <t>PRODUCTOS FERNANDEZ</t>
  </si>
  <si>
    <t>AVC1-2180CL350SCTP</t>
  </si>
  <si>
    <t>FTF-VFSB-90U447CLBB</t>
  </si>
  <si>
    <t>EMPORIO ALEMAN</t>
  </si>
  <si>
    <t>PPCFTP60CLCG</t>
  </si>
  <si>
    <t>PPSPLP6190CLCG</t>
  </si>
  <si>
    <t>VPP3SHR37AF280CLBB</t>
  </si>
  <si>
    <t>CELPSA</t>
  </si>
  <si>
    <t>SFLM125USKFRT420CLBB</t>
  </si>
  <si>
    <t>BRAUNAU</t>
  </si>
  <si>
    <t>VHRIP85U250CL200SR</t>
  </si>
  <si>
    <t>VC5IP50U230CL500SCTF</t>
  </si>
  <si>
    <t>VHRIP85U205CL600SR</t>
  </si>
  <si>
    <t>BOLSA HUESO TERMOCONTRAIBLE - VHR - 280X700MM CLEAR - SELLO RECTO</t>
  </si>
  <si>
    <t>LOGO MAFRISUR 1 COLOR 200X500MM SELLO CURVO</t>
  </si>
  <si>
    <t>PATRICIO, YAÑEZ ALVAREZ</t>
  </si>
  <si>
    <t>MALLA ELASTICA R/TPX 48/95 - X600MM WHITE - CORTE CLIP</t>
  </si>
  <si>
    <t>VEGAFRESH SPA</t>
  </si>
  <si>
    <t>PF - RDA - SALCHICHON CERVECERO ESPECIAL - C100 CLEAR - CORRUGADO / I.0Q626.000.2 CMR05 PF4</t>
  </si>
  <si>
    <t>CALIDAD / LIRION</t>
  </si>
  <si>
    <t>FUTUROCOOP</t>
  </si>
  <si>
    <t>VC345MIC200YE270SCTF</t>
  </si>
  <si>
    <t>VC345MIC250YE475SCTP</t>
  </si>
  <si>
    <t>VC5IP50U200CL500SCTF</t>
  </si>
  <si>
    <t>DIWATT'S</t>
  </si>
  <si>
    <t>FTMB100U421CLSLCHFBB</t>
  </si>
  <si>
    <t>CECINAS VICTORIA</t>
  </si>
  <si>
    <t>FTAB406CL60UAIOTPAFLBB</t>
  </si>
  <si>
    <t>VHRIP85U250CL600SR</t>
  </si>
  <si>
    <t>BOLSA TERMOCONTRAIBLE - VC1 - 280X320MM SELLO CURVO</t>
  </si>
  <si>
    <t>LOGO MAFRISUR 1 COLOR - 300X550MM CLEAR - SELLO CURVO</t>
  </si>
  <si>
    <t>BOLSA TERMOCONTRAIBLE - VC1 - 200X300MM SELLO CURVO</t>
  </si>
  <si>
    <t>GENIALFOODS</t>
  </si>
  <si>
    <t>FTAB200CL60UAIOTPAFLBB</t>
  </si>
  <si>
    <t>BOLSA TERMOCONTRAIBLE - VC5 - 250X500MM CLEAR - SELLO CURVO</t>
  </si>
  <si>
    <t>PAILLAHUE</t>
  </si>
  <si>
    <t>VC5IP50U400CL750SCTF</t>
  </si>
  <si>
    <t>MODINGER</t>
  </si>
  <si>
    <t>LOGO MODINGER 1 COLOR 250X475MM</t>
  </si>
  <si>
    <t>KARMAC</t>
  </si>
  <si>
    <t>SOUTHBEEF HUESO CARNES PREMIUM NACIONAL 200X500MM SELLO RECTO</t>
  </si>
  <si>
    <t>VTFBFLXR50CLCG</t>
  </si>
  <si>
    <t>PATE DE TERNERA SAN JORGE 125 GR. CORRUGADO</t>
  </si>
  <si>
    <t>MANGA PASTEURIZABLE - P5 - 300MM CLEAR - PERFORADO - CORRUGADO</t>
  </si>
  <si>
    <t>MANGA PASTEURIZABLE - P5 - 200MM CLEAR - PERFORADO - CORRUGADO</t>
  </si>
  <si>
    <t>MANGA PASTEURIZABLE - P5 - 220MM CLEAR - PERFORADO - CORRUGADO</t>
  </si>
  <si>
    <t>MANGA PASTEURIZABLE - P5 - 250MM CLEAR - PERFORADO - CORRUGADO</t>
  </si>
  <si>
    <t>RECUPERACION SCRAP - FBSSEC100FRPFSCRDABB - PF4 - CORRUGADO</t>
  </si>
  <si>
    <t>FTMB150U464CLWQ40SSCHFBB</t>
  </si>
  <si>
    <t>TRIPA ACTIVA - CK - 175MM RED - CORRUGADO</t>
  </si>
  <si>
    <t>BOLSA TERMOCONTRAIBLE - VC1 - 180X300MM SELLO RECTO</t>
  </si>
  <si>
    <t>TRIPA PLASTICA - PCS 54MM WHITE - CORRUGADO</t>
  </si>
  <si>
    <t>MANGA PASTEURIZABLE - P5 - 280MM CLEAR - PERFORADO - CORRUGADO</t>
  </si>
  <si>
    <t>TRIPA FIBROSA - ST REGULAR - C105 CLEAR - PERFORADO CORRUGADO</t>
  </si>
  <si>
    <t>TRIPA FIBROSA - FLX - 50MM CLEAR - CORRUGADO</t>
  </si>
  <si>
    <t>TRIPA ACTIVA - SK - 190MM TINT SMOKE - CORRUGADO</t>
  </si>
  <si>
    <t>TRIPA PLASTICA - P6 - 250MM CLEAR - CORRUGADO</t>
  </si>
  <si>
    <t>RUNCA</t>
  </si>
  <si>
    <t>BOLSA TERMOCONTRAIBLE - VC5 - 375X600MM CLEAR - SELLO CURVO</t>
  </si>
  <si>
    <t>BOLSA TERMOCONTRAIBLE - VC5 - 300X500MM CLEAR - SELLO CURVO</t>
  </si>
  <si>
    <t>BOLSA TERMOCONTRAIBLE - VC5 - 400X550MM CLEAR - SELLO CURVO</t>
  </si>
  <si>
    <t>BOLSA TERMOCONTRAIBLE - VC5 - 200X500MM CLEAR - SELLO CURVO</t>
  </si>
  <si>
    <t>BARF CHILE</t>
  </si>
  <si>
    <t>ALIMENTO NATURAL DIETA COCIDA DE VACUNO</t>
  </si>
  <si>
    <t>BOLSA TERMOCONTRAIBLE - VC5 - 300X450MM CLEAR - SELLO CURVO</t>
  </si>
  <si>
    <t>ALIMENTO NATURAL DIETA COCIDA DE VACUNO BARF CHILE</t>
  </si>
  <si>
    <t>ALIMENTO NATURAL DIETA COCIDA DE POLLO BARF CHILE</t>
  </si>
  <si>
    <t>ALIMENTO NATURAL CERDO 200GR</t>
  </si>
  <si>
    <t>BOLSA TERMOCONTRAIBLE - VC5 - 250X400MM CLEAR - SELLO CURVO</t>
  </si>
  <si>
    <t>ALIMENTO NATURAL SALMON 200GR BARF</t>
  </si>
  <si>
    <t>LOGO MAFRISUR 1 COLOR - 250X350MM CLEAR - SELLO CURVO</t>
  </si>
  <si>
    <t>LOGO MAFRISUR 1 COLOR - 250X475MM CLEAR - SELLO CURVO</t>
  </si>
  <si>
    <t>BOLSA HUESO TERMOCONTRAIBLE - VHR - 205X500MM CLEAR - SELLO RECTO</t>
  </si>
  <si>
    <t>TRIPA FIBROSA - ST REGULAR - CAL 165X550MM CLEAR - CORTE CLIP</t>
  </si>
  <si>
    <t>QUESO CABEZA WINTER CORRUGADA</t>
  </si>
  <si>
    <t>BOLSA TERMOCONTRAIBLE - VC5 - 350X800MM CLEAR - SELLO CURVO</t>
  </si>
  <si>
    <t>DIWATTS</t>
  </si>
  <si>
    <t>QUESO CREMA WATTS - CALO 100g</t>
  </si>
  <si>
    <t>CARNES NARANJO</t>
  </si>
  <si>
    <t>BOLSA TERMOCONTRAIBLE - VC1 - 200X500MM SELLO CURVO</t>
  </si>
  <si>
    <t>BOLSA TERMOCONTRAIBLE - VC5 - 200X350MM CLEAR - SELLO CURVO</t>
  </si>
  <si>
    <t>LOGO CARNES MONTES 250X250MM SELLO CURVO</t>
  </si>
  <si>
    <t>LOGO MOLLENDO 4C FRANJA - 250X350MM CLEAR - SELLO CURVO</t>
  </si>
  <si>
    <t>ALIMENTO NATURAL CORDERO 200GR BARF</t>
  </si>
  <si>
    <t>LA CRIANZA - SALCHICHON CERVECERO ESPECIAL C90 - CORRUGADO SKU: 3200024648</t>
  </si>
  <si>
    <t>LOGO MOLLENDO 4C FRANJA - 250X475MM CLEAR - SELLO CURVO</t>
  </si>
  <si>
    <t>BOLSA TERMOCONTRAIBLE - VC5 - 250X450MM CLEAR - SELLO CURVO</t>
  </si>
  <si>
    <t>LOS TRES CHANCHITOS</t>
  </si>
  <si>
    <t>TRES CHANCHITOS - LOGO ENTRE CORTES - 180X200MM CLEAR - SELLO CURVO</t>
  </si>
  <si>
    <t>SOUTHBEEF CARNES PREMIUM NACIONAL 250X400MM SELLO RECTO</t>
  </si>
  <si>
    <t>BOLSA TERMOCONTRAIBLE - VC1 - 85X350MM CORTE CUÑO</t>
  </si>
  <si>
    <t>BOLSA TERMOCONTRAIBLE - VC5 - 250X1050MM CLEAR - SELLO RECTO</t>
  </si>
  <si>
    <t>TRIPA FIBROSA - ST REGULAR- C120 CLEAR - PERFORADO - CORRUGADO</t>
  </si>
  <si>
    <t>BOLSA TERMOCONTRAIBLE - VC1 - 180X200MM SELLO CURVO</t>
  </si>
  <si>
    <t>TRIPA ACTIVA - SK - 190MM CLEAR - CORRUGADO</t>
  </si>
  <si>
    <t>TRIPA ACTIVA - COLOR KOTE - 160MM RED - CORRUGADO</t>
  </si>
  <si>
    <t>TRIPA FIBROSA - ST REGULAR - C140 CLEAR - PERFORADO N5 - CORRUGADO</t>
  </si>
  <si>
    <t>LOS ULMOS</t>
  </si>
  <si>
    <t>BOLSA TERMOCONTRAIBLE - VC3 - 225X300MM YELLOW - SELLO CURVO</t>
  </si>
  <si>
    <t>TRIPA FIBROSA - ST REGULAR CARAMELO C120 CLEAR - CORRUGADO</t>
  </si>
  <si>
    <t>TRIPA ACTIVA - BSH C200 DR300 - CORRUGADO</t>
  </si>
  <si>
    <t>CHILE BEEF</t>
  </si>
  <si>
    <t>BOLSA TERMOCONTRAIBLE - VC5 - 350X550MM CLEAR - SELLO CURVO</t>
  </si>
  <si>
    <t>MAFRISUR - LOGO MAFRISUR 1 COLOR - 350X550MM CLEAR - SELLO CURVO</t>
  </si>
  <si>
    <t>MAFRISUR - LOGO MAFRISUR 1 COLOR - 200X375MM CLEAR - SELLO CURVO</t>
  </si>
  <si>
    <t>AGRICOLA INDUSTRIAL LO VALLEDOR</t>
  </si>
  <si>
    <t>BABY RIB NATURAL COOK &amp; FUN 200X350MM SELLO RECTO</t>
  </si>
  <si>
    <t>LOGO MOLLENDO 4C FRANJA - 200X650MM CLEAR - SELLO CURVO</t>
  </si>
  <si>
    <t>CIAL - SAN JORGE - ARROLLADO LOMO CON AJI - 230X535MM CLEAR - SELLO CURVO</t>
  </si>
  <si>
    <t>PF - HI000 JAMON PIERNA ARTESANAL RDA - 280X420MM CLEAR - SELLO CURVO CON TAPE</t>
  </si>
  <si>
    <t>TRES CHANCHITOS - LOGO HUESO TRES CHANCHITOS PREMIUM - 250X300MM SELLO RECTO</t>
  </si>
  <si>
    <t>BABY RIB BARBECUE COOK &amp; FUN 200X350MM SELLO RECTO</t>
  </si>
  <si>
    <t>FTMB60U459CLAIOEOBB</t>
  </si>
  <si>
    <t>JAMON ACARAMELADO MINI WINTER 230X535MM</t>
  </si>
  <si>
    <t>LOGO MOLLENDO 4C FRANJA - 350X550MM CLEAR - SELLO CURVO</t>
  </si>
  <si>
    <t>TRES CHANCHITOS - LOGO TRES CHANCHITOS PREMIUM - 250X300MM SELLO CURVO</t>
  </si>
  <si>
    <t>TRES CHANCHITOS - LOGO ENTRE CORTES - 250X480MM CLEAR - SELLO CURVO</t>
  </si>
  <si>
    <t>TRES CHANCHITOS - LOGO TRES CHANCHITOS PREMIUM - 180X200MM SELLO CURVO</t>
  </si>
  <si>
    <t>TRES CHANCHITOS - LOGO ENTRE CORTES - 250X300MM CLEAR - SELLO CURVO</t>
  </si>
  <si>
    <t>SALAME LLANQUIHUE 470G - CORRUGADO</t>
  </si>
  <si>
    <t>PASTA DE JAMON SAN JORGE 125G - CORRUGADA</t>
  </si>
  <si>
    <t>COLUN</t>
  </si>
  <si>
    <t>FSLIP90U456CLBB</t>
  </si>
  <si>
    <t>FSHIP70U430CLBB</t>
  </si>
  <si>
    <t>FSLIP130U456CLBB</t>
  </si>
  <si>
    <t>BOLSA TERMOCONTRAIBLE - VC1 - 450X750MM SELLO RECTO</t>
  </si>
  <si>
    <t>DIWATT</t>
  </si>
  <si>
    <t>BOLSA TERMOCONTRAIBLE - VC5 - 200X475MM CLEAR - SELLO CURVO</t>
  </si>
  <si>
    <t>FILM TERMOSELLADO - VPP3 AF 37U - 420MM CLEAR - BOBINA</t>
  </si>
  <si>
    <t>MAFRISUR - LOGO MAFRISUR 1 COLOR - 300X450MM CLEAR - SELLO CURVO</t>
  </si>
  <si>
    <t>MAFRISUR - LOGO MAFRISUR 1 COLOR - 300X550MM CLEAR - SELLO CURVO</t>
  </si>
  <si>
    <t>TRIPA FIBROSA - ST REGULAR - C70 CLEAR - CORRUGADO</t>
  </si>
  <si>
    <t>PECHUGA DE PAVO COCIDA SIN GLUTEN LA PREFERIDA - 250X420MM CLEAR - SELLO CURVO</t>
  </si>
  <si>
    <t>JAMON COLONIAL 1 PIEZA SAN JORGE LIBRE DE GLUTEN 350X535MM SELLO CURVO</t>
  </si>
  <si>
    <t>TRIPA FIBROSA - FLX - 60MM CLEAR - CORRUGADO</t>
  </si>
  <si>
    <t>CIAL - SAN JORGE - JAMON ARTESANAL - 300X480MM CLEAR - SELLO CURVO</t>
  </si>
  <si>
    <t>MOLIDA CORRIENTE (ROJO) VIENTO SUR 1K PCS CORRUGADA</t>
  </si>
  <si>
    <t>MOLIDA ESPECIAL 1KG VIENTO SUR (AZUL)</t>
  </si>
  <si>
    <t>ALICO</t>
  </si>
  <si>
    <t>BOLSA TERMOCONTRAIBLE - VC1 - 230X635MM SELLO CURVO</t>
  </si>
  <si>
    <t>JAMON PÍERNA ARTESANAL SUPER CERDO 300X480 SC</t>
  </si>
  <si>
    <t>ARROLLADO LOMO SIN AJI SAN JORGE 230X535MM SELLO CURVO</t>
  </si>
  <si>
    <t>ARROLLADO HUASO SAN JORGE 200X420MM SELLO CURVO</t>
  </si>
  <si>
    <t>TRIPA FIBROSA - FLX - 55MM CLEAR - CORRUGADO</t>
  </si>
  <si>
    <t>SAN JORGE - JAMON ARTESANAL MINI PIEZA 230X535MM</t>
  </si>
  <si>
    <t>WINTER - JAMON ACARAMELADO LIBRE DE GLUTEN 300X420MM</t>
  </si>
  <si>
    <t>PATE DE TERNERA SAN JORGE 125 GR</t>
  </si>
  <si>
    <t>vs 21-09</t>
  </si>
  <si>
    <t>CIAL - SAN JORGE - JAMON PLANCHADO - 250X480MM CLEAR - SELLO CURVO</t>
  </si>
  <si>
    <t>DON HERNAN - PRIETAS DE CAMPO MERKEN - 160X350MM CLEAR - SELLO CURVO</t>
  </si>
  <si>
    <t>DIWATT´S S.A.</t>
  </si>
  <si>
    <t>BOLSA TERMOCONTRAIBLE - VC5 - 230X475MM CLEAR - SELLO RECTO</t>
  </si>
  <si>
    <t>MARFRIG</t>
  </si>
  <si>
    <t>TRIPA PLASTICA - P6 - 180MM WHITE - CORRUGADO</t>
  </si>
  <si>
    <t>LACTEOS SAN IGNACIO</t>
  </si>
  <si>
    <t>BOLSA TERMOCONTRAIBLE - VC3 - 225X530MM YELLOW - SELLO CURVO</t>
  </si>
  <si>
    <t>BOLSA TERMOCONTRAIBLE - VC3 - 250X475MM YELLOW - SELLO CURVO CON TAPE</t>
  </si>
  <si>
    <t>ALIMENTOS SAN MARTIN</t>
  </si>
  <si>
    <t>BOLSA HUESO TERMOCONTRAIBLE - VHR - 205X400MM CLEAR - SELLO RECTO</t>
  </si>
  <si>
    <t>EMBUTIDOS DIAZ SPA</t>
  </si>
  <si>
    <t>TRIPA FIBROSA - ST REGULAR - CAL 120X530MM - CORTE CLIP</t>
  </si>
  <si>
    <t>BOLSA TERMOCONTRAIBLE - VC5 - 300X400MM CLEAR - SELLO CURVO</t>
  </si>
  <si>
    <t>BOLSA HUESO TERMOCONTRAIBLE - VHR - 250X350MM SELLO RECTO</t>
  </si>
  <si>
    <t>LACTEOS MATTHEI</t>
  </si>
  <si>
    <t>BOLSA TERMOCONTRAIBLE - VC1 - 230X280MM SELLO CURVO</t>
  </si>
  <si>
    <t>BOLSA TERMOCONTRAIBLE - VC5 - 250X300MM CLEAR - SELLO RECTO</t>
  </si>
  <si>
    <t>BOLSA TERMOCONTRAIBLE - VC1 - 250X500MM CLEAR - SELLO CURVO</t>
  </si>
  <si>
    <t>MAFRISUR - LOGO MAFRISUR 1 COLOR - 400X550MM CLEAR - SELLO CURVO</t>
  </si>
  <si>
    <t>BOLSA HUESO TERMOCONTRAIBLE - VHR - 250X400MM SELLO RECTO</t>
  </si>
  <si>
    <t>BOLSA TERMOCONTRAIBLE - VC5 - 450X550MM CLEAR - SELLO CURVO</t>
  </si>
  <si>
    <t>LACTEOS SAN SEBASTIAN</t>
  </si>
  <si>
    <t>BOLSA TERMOCONTRAIBLE - VC5 - 200X300MM CLEAR - SELLO CURVO</t>
  </si>
  <si>
    <t>TRIPA PLASTICA - PCS - 65MM CLEAR - LACADA - CORRUGADA</t>
  </si>
  <si>
    <t>ALSUR</t>
  </si>
  <si>
    <t>BOLSA TERMOCONTRAIBLE - VC1 - 160X200MM CLEAR - CORTE CUÑO</t>
  </si>
  <si>
    <t>BOLSA TERMOCONTRAIBLE - VC1 - 85X350MM CLEAR CORTE CUÑO</t>
  </si>
  <si>
    <t>LOGO MAFRISUR HUESO 1 COLOR - 205X500MM CLEAR - SELLO RECTO</t>
  </si>
  <si>
    <t>MAFRISUR - LOGO MAFRISUR 1 COLOR - 200X500MM CLEAR - SELLO CURVO</t>
  </si>
  <si>
    <t>TRIPA FIBROSA - ST REGULAR - CAL 140X550MM CLEAR - CORTE CLIP</t>
  </si>
  <si>
    <t>BOLSA TERMOCONTRAIBLE - VC1 - 350X500MM SELLO CURVO</t>
  </si>
  <si>
    <t>BOLSA TERMOCONTRAIBLE - VC5 - 250X400MM CLEAR - SELLO RECTO</t>
  </si>
  <si>
    <t>ESCUDERO - ARROLLADO HUASO TRADICIONAL 1KG - 200X300MM CLEAR - SELLO CURVO</t>
  </si>
  <si>
    <t>JAMON ACARAMELADO LIBRE DE GLUTEN SAN JORGE</t>
  </si>
  <si>
    <t>BIANCHINI</t>
  </si>
  <si>
    <t>BIANCHINI - GALANTINA CON HUEVO 230X380MM CLEAR - SELLO CURVO</t>
  </si>
  <si>
    <t>PLAYA VENADO</t>
  </si>
  <si>
    <t>QUESO JERSEY PLAYA VENADO 160X250MM</t>
  </si>
  <si>
    <t>WINTER - COPPA MOLDE - 230X535MM</t>
  </si>
  <si>
    <t>JAMON COLONIAL 1/2 PIEZA SAN JORGE LIBRE DE GLUTEN</t>
  </si>
  <si>
    <t>LONGANIZAS DE CERDO (AMARILLO) - 200X350MM CLEAR - SELLO CURVO</t>
  </si>
  <si>
    <t>RUNCA - QUESO MANTECOSO 900G 200X300 - SELLO CURVO</t>
  </si>
  <si>
    <t>ARROLLADO HUASO BIANCHINI 200X450MM CLEAR SELLO CURVO</t>
  </si>
  <si>
    <t>BIANCHINI - ARROLLADO LOMO 200X520MM CLEAR - SELLO CURVO</t>
  </si>
  <si>
    <t>MOLIDA SAN JORGE</t>
  </si>
  <si>
    <t>PATE SABOR CAMPO 125G FUNDO RIO ALEGRE- SAN PABLO CORRUGADO</t>
  </si>
  <si>
    <t>BIANCHINI - GALANTINA CON HUEVO 230X520MM CLEAR - SELLO CURVO</t>
  </si>
  <si>
    <t>PASTA DE JAMON SAN JORGE 125 GR</t>
  </si>
  <si>
    <t>SAN MATEO</t>
  </si>
  <si>
    <t>CARNE MOLIDA DE VACUNO 1KG SAN MATEO - CORRUGADO</t>
  </si>
  <si>
    <t>JORGE LEON BARRERA</t>
  </si>
  <si>
    <t>BOLSA TERMOCONTRAIBLE - VC5 - 230X300MM SELLO CURVO</t>
  </si>
  <si>
    <t>BOLSA TERMOCONTRAIBLE - VC5 - 230X350MM SELLO CURVO</t>
  </si>
  <si>
    <t>BOLSA TERMOCONTRAIBLE - VC5 - 230X500MM SELLO CURVO</t>
  </si>
  <si>
    <t>TRIPA PLASTICA P6 175MM CLEAR - CORRUGADO</t>
  </si>
  <si>
    <t>BOLSA TERMOCONTRAIBLE - VC1 - 250X450MM SELLO CURVO</t>
  </si>
  <si>
    <t>ARAMARK</t>
  </si>
  <si>
    <t>FTF-LAB-63U280CLBB</t>
  </si>
  <si>
    <t>TRIPA FIBROSA - ST REGULAR - C140 X410MM - CORTE CLIP</t>
  </si>
  <si>
    <t>BOLSA TERMOCONTRAIBLE - VC1 - 200X420MM CLEAR - SELLO CURVO</t>
  </si>
  <si>
    <t>TRIPA FIBROSA C90 CORRUGADA PERFORADA</t>
  </si>
  <si>
    <t>EL LAUREL</t>
  </si>
  <si>
    <t>BOLSA TERMOCONTRAIBLE - VC5 - 400X400MM CLEAR - SELLO CURVO</t>
  </si>
  <si>
    <t>TRIPA FIBROSA C90 CARAMELO – CORRUGADA PERFORADA</t>
  </si>
  <si>
    <t>BOLSA TERMOCONTRAIBLE - VC5 - 400X450MM CLEAR - SELLO CURVO</t>
  </si>
  <si>
    <t>SOUTH WIND</t>
  </si>
  <si>
    <t>VCX (60PE/40PA) 90U 130MM CLEAR PERFORADO CORRUGADO</t>
  </si>
  <si>
    <t>BOLSA TERMOCONTRAIBLE - VC5 - 400X600MM CLEAR - SELLO CURVO</t>
  </si>
  <si>
    <t>TRIPA FIBROSA C105 CARAMELO – CORRUGADA PERFORADA</t>
  </si>
  <si>
    <t>BOLSA TERMOCONTRAIBLE - VC5 - 200X400MM CLEAR - SELLO CURVO</t>
  </si>
  <si>
    <t>LA PREFERIDA - PECHUGA DE PAVO AHUMADA SIN GLUTEN</t>
  </si>
  <si>
    <t>TRIPA PLASTICA - VCX - 175X1400MM CLEAR - PERFORADO SOLO CORTE</t>
  </si>
  <si>
    <t>PECHUGA POLLO ACARAMELADA SAN JORGE 250X480MM</t>
  </si>
  <si>
    <t>BOLSA TERMOCONTRAIBLE - VC1 - 300X650MM CLEAR</t>
  </si>
  <si>
    <t>BARF CHILE - ALIMENTO NATURAL VACUNO 200G - CORRUGADO</t>
  </si>
  <si>
    <t>BARF CHILE - ALIMENTO NATURAL POLLO PARA PERROS 200G - CORRUGADO</t>
  </si>
  <si>
    <t>COSTILLAR AHUMADO DON HERNAN - 200X600MM CLEAR - SELLO RECTO BOLSA HUESO</t>
  </si>
  <si>
    <t>ESCUDERO - PRIETA DE CERDO ESCUDERO - 160X380MM CLEAR - SELLO RECTO</t>
  </si>
  <si>
    <t>SAN JORGE - FIAMBRE JAMON SANDWICH SIN GLUTEN - CORRUGADO</t>
  </si>
  <si>
    <t>SALCHICHON CERVEZA WINTER 1.6K</t>
  </si>
  <si>
    <t>QUESO FUNDO STAESTER - 225X300MM YELLOW - SELLO CURVO</t>
  </si>
  <si>
    <t>CERVEZA WINTER MINI</t>
  </si>
  <si>
    <t>LA PREFERIDA - PECHUGA DE PAVO ACARAMELADA SIN GLUTEN</t>
  </si>
  <si>
    <t>BOLSA TERMOCONTRAIBLE - VC1 - 250X300MM SELLO RECTO</t>
  </si>
  <si>
    <t>BOLOGNA WINTER</t>
  </si>
  <si>
    <t>TRIPA PLASTICA - P6 - 180MM CLEAR - CORRUGADO</t>
  </si>
  <si>
    <t>BOLSA COOK IN - HFC100U 300X500MM CLEAR - SELLO RECTO</t>
  </si>
  <si>
    <t>BOLSA TERMOCONTRAIBLE - VC1 - 250X250MM SELLO RECTO</t>
  </si>
  <si>
    <t>FILM SEMI-RIGIDO 225MIC 423MM NEGRO EASY OPEN EAD - BOBINA</t>
  </si>
  <si>
    <t>FTF-LAB-63U360CLBB</t>
  </si>
  <si>
    <t>FTS-VPP1MB-30U300CLBB</t>
  </si>
  <si>
    <t>BOLSA TERMOCONTRAIBLE - VC1 - 200X320MM SELLO CURVO</t>
  </si>
  <si>
    <t>BOLSA TERMOCONTRAIBLE - VC5 - 225X500MM SELLO CURVO</t>
  </si>
  <si>
    <t>VEGAFRESH</t>
  </si>
  <si>
    <t>BOLSA TERMOCONTRAIBLE - VC1 - 250X450MM SELLO RECTO</t>
  </si>
  <si>
    <t>LOS MAÑIOS</t>
  </si>
  <si>
    <t>BOLSA TERMOCONTRAIBLE - VC1 - 250X300MM SELLO CURVO</t>
  </si>
  <si>
    <t>BOLSA TERMOCONTRAIBLE HUESO - VHR - 275X600MM SELLO RECTO</t>
  </si>
  <si>
    <t>BOLSA TERMOCONTRAIBLE HUESO - VHR - 250X400MM SELLO RECTO</t>
  </si>
  <si>
    <t>FTS-VPP1MB-30U240CLBB</t>
  </si>
  <si>
    <t>BOLSA TERMOCONTRAIBLE - VC1 - 230X500MM CLEAR - SELLO CURVO</t>
  </si>
  <si>
    <t>LOGO MAFRISUR 1 COLOR - 300X450MM CLEAR - SELLO CURVO</t>
  </si>
  <si>
    <t>BOLSA TERMOCONTRAIBLE - VC5 - 350X400MM CLEAR - SELLO RECTO</t>
  </si>
  <si>
    <t>BOLSA TERMOCONTRAIBLE - VC5 - 400X500MM CLEAR - SELLO CURVO</t>
  </si>
  <si>
    <t>BOLSA TERMOCONTRAIBLE - VC1 - 200X325MM SELLO CURVO</t>
  </si>
  <si>
    <t>PROCELAC</t>
  </si>
  <si>
    <t>BOLSA TERMOCONTRAIBLE - VC5 - 250X800MM CLEAR - SELLO CURVO</t>
  </si>
  <si>
    <t>BOLSA TERMOCONTRAIBLE - VC1 - 300X450MM CLEAR - SELLO CURVO</t>
  </si>
  <si>
    <t>BOLSA TERMOCONTRAIBLE - VC5 - 200X700MM CLEAR - SELLO CURVO</t>
  </si>
  <si>
    <t>BOLSA TERMOCONTRAIBLE - VC1 - 250X475MM CLEAR - SELLO CURVO</t>
  </si>
  <si>
    <t>MORTADELA JAMONADA 3KG WINTER</t>
  </si>
  <si>
    <t>CJR01 PECHUGA DE PAVO ASADA RDA 280X480MM C/TAPE SELLO CURVO</t>
  </si>
  <si>
    <t>vs 05-10</t>
  </si>
  <si>
    <t>PATE SABOR JAMON 125G FUNDO RIO ALEGRE - SAN PABLO CORRUGADO</t>
  </si>
  <si>
    <t>JAMON PLANCHADO SAN JORGE 250X480MM SELLO CURVO</t>
  </si>
  <si>
    <t>SAN JORGE - PATE DE TERNERA 125G - CORRUGADO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</si>
</sst>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41" fontId="0" fillId="0" borderId="0" xfId="1" applyFont="1" applyFill="1" applyBorder="1"/>
    <xf numFmtId="10" fontId="0" fillId="0" borderId="0" xfId="2" applyNumberFormat="1" applyFont="1" applyFill="1" applyBorder="1"/>
    <xf numFmtId="10" fontId="0" fillId="0" borderId="0" xfId="0" applyNumberFormat="1"/>
    <xf numFmtId="14" fontId="0" fillId="0" borderId="0" xfId="0" applyNumberFormat="1"/>
    <xf numFmtId="10" fontId="0" fillId="0" borderId="1" xfId="2" applyNumberFormat="1" applyFont="1" applyFill="1" applyBorder="1"/>
    <xf numFmtId="10" fontId="0" fillId="0" borderId="1" xfId="0" applyNumberFormat="1" applyBorder="1"/>
    <xf numFmtId="41" fontId="0" fillId="0" borderId="1" xfId="1" applyFont="1" applyFill="1" applyBorder="1"/>
    <xf numFmtId="14" fontId="0" fillId="0" borderId="1" xfId="0" applyNumberFormat="1" applyBorder="1"/>
    <xf numFmtId="0" fontId="0" fillId="0" borderId="1" xfId="0" applyBorder="1"/>
    <xf numFmtId="10" fontId="4" fillId="0" borderId="0" xfId="2" applyNumberFormat="1" applyFont="1"/>
    <xf numFmtId="10" fontId="0" fillId="0" borderId="0" xfId="2" applyNumberFormat="1" applyFont="1"/>
    <xf numFmtId="10" fontId="0" fillId="2" borderId="1" xfId="2" applyNumberFormat="1" applyFont="1" applyFill="1" applyBorder="1"/>
    <xf numFmtId="41" fontId="4" fillId="0" borderId="0" xfId="1" applyFont="1"/>
    <xf numFmtId="9" fontId="0" fillId="0" borderId="1" xfId="2" applyFont="1" applyBorder="1"/>
    <xf numFmtId="0" fontId="3" fillId="0" borderId="1" xfId="0" applyFont="1" applyBorder="1"/>
    <xf numFmtId="9" fontId="0" fillId="0" borderId="0" xfId="2" applyFont="1"/>
    <xf numFmtId="10" fontId="5" fillId="0" borderId="0" xfId="0" applyNumberFormat="1" applyFont="1"/>
    <xf numFmtId="10" fontId="5" fillId="0" borderId="1" xfId="2" applyNumberFormat="1" applyFont="1" applyBorder="1"/>
    <xf numFmtId="41" fontId="0" fillId="0" borderId="0" xfId="0" applyNumberFormat="1"/>
    <xf numFmtId="41" fontId="0" fillId="0" borderId="1" xfId="1" applyFont="1" applyBorder="1"/>
    <xf numFmtId="0" fontId="0" fillId="0" borderId="0" xfId="0" applyAlignment="1">
      <alignment horizontal="left"/>
    </xf>
    <xf numFmtId="0" fontId="0" fillId="3" borderId="1" xfId="0" applyFill="1" applyBorder="1"/>
    <xf numFmtId="0" fontId="2" fillId="4" borderId="1" xfId="0" applyFont="1" applyFill="1" applyBorder="1"/>
    <xf numFmtId="10" fontId="0" fillId="2" borderId="1" xfId="0" applyNumberFormat="1" applyFill="1" applyBorder="1"/>
    <xf numFmtId="10" fontId="4" fillId="0" borderId="1" xfId="2" applyNumberFormat="1" applyFont="1" applyBorder="1"/>
    <xf numFmtId="10" fontId="0" fillId="0" borderId="1" xfId="2" applyNumberFormat="1" applyFont="1" applyBorder="1"/>
    <xf numFmtId="41" fontId="4" fillId="0" borderId="1" xfId="1" applyFont="1" applyBorder="1"/>
    <xf numFmtId="41" fontId="0" fillId="0" borderId="0" xfId="1" applyFont="1" applyBorder="1"/>
    <xf numFmtId="0" fontId="0" fillId="2" borderId="1" xfId="0" applyFill="1" applyBorder="1"/>
    <xf numFmtId="41" fontId="2" fillId="4" borderId="1" xfId="1" applyFont="1" applyFill="1" applyBorder="1"/>
    <xf numFmtId="41" fontId="0" fillId="0" borderId="0" xfId="1" applyFont="1"/>
    <xf numFmtId="0" fontId="0" fillId="0" borderId="3" xfId="0" applyBorder="1"/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41" fontId="0" fillId="0" borderId="6" xfId="1" applyFont="1" applyBorder="1" applyAlignment="1">
      <alignment horizontal="center" vertical="center"/>
    </xf>
    <xf numFmtId="41" fontId="2" fillId="3" borderId="4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1" fontId="2" fillId="4" borderId="5" xfId="1" applyFont="1" applyFill="1" applyBorder="1" applyAlignment="1">
      <alignment horizontal="center" vertical="center"/>
    </xf>
    <xf numFmtId="9" fontId="0" fillId="0" borderId="0" xfId="2" applyFont="1" applyBorder="1"/>
    <xf numFmtId="0" fontId="0" fillId="0" borderId="5" xfId="0" applyBorder="1"/>
    <xf numFmtId="0" fontId="2" fillId="5" borderId="1" xfId="0" applyFont="1" applyFill="1" applyBorder="1"/>
    <xf numFmtId="0" fontId="2" fillId="4" borderId="3" xfId="0" applyFont="1" applyFill="1" applyBorder="1"/>
    <xf numFmtId="164" fontId="4" fillId="0" borderId="1" xfId="2" applyNumberFormat="1" applyFont="1" applyBorder="1"/>
    <xf numFmtId="164" fontId="0" fillId="0" borderId="0" xfId="0" applyNumberFormat="1"/>
    <xf numFmtId="164" fontId="0" fillId="0" borderId="1" xfId="0" applyNumberFormat="1" applyBorder="1"/>
    <xf numFmtId="164" fontId="2" fillId="4" borderId="1" xfId="0" applyNumberFormat="1" applyFont="1" applyFill="1" applyBorder="1"/>
    <xf numFmtId="14" fontId="2" fillId="4" borderId="1" xfId="0" applyNumberFormat="1" applyFont="1" applyFill="1" applyBorder="1"/>
    <xf numFmtId="164" fontId="0" fillId="0" borderId="1" xfId="2" applyNumberFormat="1" applyFont="1" applyBorder="1"/>
    <xf numFmtId="10" fontId="4" fillId="0" borderId="0" xfId="2" applyNumberFormat="1" applyFont="1" applyBorder="1"/>
    <xf numFmtId="41" fontId="4" fillId="0" borderId="0" xfId="1" applyFont="1" applyBorder="1"/>
    <xf numFmtId="164" fontId="0" fillId="0" borderId="0" xfId="2" applyNumberFormat="1" applyFont="1" applyBorder="1"/>
    <xf numFmtId="10" fontId="5" fillId="0" borderId="0" xfId="2" applyNumberFormat="1" applyFont="1" applyBorder="1"/>
    <xf numFmtId="10" fontId="2" fillId="4" borderId="1" xfId="0" applyNumberFormat="1" applyFont="1" applyFill="1" applyBorder="1"/>
    <xf numFmtId="0" fontId="2" fillId="4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Seguimiento%20Semanal%20KPIS.xlsx" TargetMode="External"/><Relationship Id="rId2" Type="http://schemas.openxmlformats.org/officeDocument/2006/relationships/externalLinkPath" Target="file:///C:\Users\Usuario\Downloads\Seguimiento%20Semanal%20KPIS.xlsx" TargetMode="External"/><Relationship Id="rId1" Type="http://schemas.openxmlformats.org/officeDocument/2006/relationships/externalLinkPath" Target="/Users/Usuario/Downloads/Seguimiento%20Semanal%20KP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9-06"/>
      <sheetName val="15-06"/>
      <sheetName val="22-06"/>
      <sheetName val="06-07"/>
      <sheetName val="13-07"/>
      <sheetName val="21-07"/>
      <sheetName val="27-07"/>
      <sheetName val="03-08"/>
      <sheetName val="10-08"/>
      <sheetName val="17-08"/>
      <sheetName val="31-08"/>
      <sheetName val="24-08"/>
      <sheetName val="07-09"/>
      <sheetName val="14-09"/>
      <sheetName val="21-09"/>
      <sheetName val="28-09"/>
      <sheetName val="05-10"/>
      <sheetName val="13-10"/>
      <sheetName val="19-10"/>
      <sheetName val="DETALLE MERMAS sem42"/>
      <sheetName val="OB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B8">
            <v>60983</v>
          </cell>
        </row>
        <row r="9">
          <cell r="B9">
            <v>7.9634311323760629E-2</v>
          </cell>
        </row>
      </sheetData>
      <sheetData sheetId="8">
        <row r="8">
          <cell r="B8">
            <v>66219</v>
          </cell>
        </row>
        <row r="9">
          <cell r="B9">
            <v>8.2915327922427548E-2</v>
          </cell>
        </row>
      </sheetData>
      <sheetData sheetId="9">
        <row r="8">
          <cell r="B8">
            <v>66693</v>
          </cell>
        </row>
        <row r="9">
          <cell r="B9">
            <v>8.6802432805652766E-2</v>
          </cell>
        </row>
      </sheetData>
      <sheetData sheetId="10">
        <row r="8">
          <cell r="B8">
            <v>20199</v>
          </cell>
        </row>
        <row r="9">
          <cell r="B9">
            <v>3.351062770835684E-2</v>
          </cell>
        </row>
      </sheetData>
      <sheetData sheetId="11">
        <row r="8">
          <cell r="B8">
            <v>50841</v>
          </cell>
        </row>
        <row r="9">
          <cell r="B9">
            <v>5.5120978627488611E-2</v>
          </cell>
        </row>
      </sheetData>
      <sheetData sheetId="12">
        <row r="8">
          <cell r="B8">
            <v>11422</v>
          </cell>
        </row>
        <row r="9">
          <cell r="B9">
            <v>3.4121087740366665E-2</v>
          </cell>
        </row>
      </sheetData>
      <sheetData sheetId="13">
        <row r="8">
          <cell r="B8">
            <v>18875</v>
          </cell>
        </row>
        <row r="9">
          <cell r="B9">
            <v>3.684148888411766E-2</v>
          </cell>
        </row>
      </sheetData>
      <sheetData sheetId="14">
        <row r="8">
          <cell r="B8">
            <v>20915</v>
          </cell>
        </row>
        <row r="9">
          <cell r="B9">
            <v>5.2400160344741195E-2</v>
          </cell>
        </row>
      </sheetData>
      <sheetData sheetId="15">
        <row r="8">
          <cell r="B8">
            <v>36867</v>
          </cell>
        </row>
        <row r="9">
          <cell r="B9">
            <v>4.2500187329602111E-2</v>
          </cell>
        </row>
      </sheetData>
      <sheetData sheetId="16">
        <row r="8">
          <cell r="B8">
            <v>50221</v>
          </cell>
        </row>
        <row r="9">
          <cell r="B9">
            <v>6.564836601307189E-2</v>
          </cell>
        </row>
      </sheetData>
      <sheetData sheetId="17">
        <row r="8">
          <cell r="B8">
            <v>35679</v>
          </cell>
        </row>
        <row r="9">
          <cell r="B9">
            <v>6.6275836319358919E-2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6AE-6569-4C03-812C-66C6234B2E45}">
  <sheetPr>
    <tabColor rgb="FFFF0000"/>
    <pageSetUpPr fitToPage="1"/>
  </sheetPr>
  <dimension ref="A1:M135"/>
  <sheetViews>
    <sheetView zoomScaleNormal="100" workbookViewId="0">
      <selection activeCell="D28" sqref="D28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88671875" bestFit="1" customWidth="1"/>
    <col min="4" max="4" width="26.33203125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28" bestFit="1" customWidth="1"/>
    <col min="10" max="10" width="23.5546875" style="28" bestFit="1" customWidth="1"/>
    <col min="11" max="11" width="13.44140625" style="28" bestFit="1" customWidth="1"/>
    <col min="12" max="12" width="11.6640625" bestFit="1" customWidth="1"/>
    <col min="13" max="13" width="23.21875" bestFit="1" customWidth="1"/>
  </cols>
  <sheetData>
    <row r="1" spans="1:13" x14ac:dyDescent="0.3">
      <c r="A1" s="55" t="s">
        <v>119</v>
      </c>
      <c r="B1" s="55"/>
      <c r="E1" s="23" t="s">
        <v>118</v>
      </c>
      <c r="F1" s="23" t="s">
        <v>117</v>
      </c>
      <c r="G1" s="23" t="s">
        <v>116</v>
      </c>
      <c r="H1" s="23" t="s">
        <v>115</v>
      </c>
      <c r="I1" s="30" t="s">
        <v>114</v>
      </c>
      <c r="J1" s="30" t="s">
        <v>113</v>
      </c>
      <c r="K1" s="30" t="s">
        <v>112</v>
      </c>
      <c r="L1" s="23" t="s">
        <v>111</v>
      </c>
      <c r="M1" s="23" t="s">
        <v>110</v>
      </c>
    </row>
    <row r="2" spans="1:13" x14ac:dyDescent="0.3">
      <c r="A2" s="15" t="s">
        <v>109</v>
      </c>
      <c r="B2" s="8">
        <v>46234</v>
      </c>
      <c r="D2" t="s">
        <v>240</v>
      </c>
      <c r="E2" s="29">
        <v>31900</v>
      </c>
      <c r="F2" s="9" t="s">
        <v>108</v>
      </c>
      <c r="G2" s="9" t="s">
        <v>12</v>
      </c>
      <c r="H2" s="8">
        <v>46241</v>
      </c>
      <c r="I2" s="7">
        <v>50000</v>
      </c>
      <c r="J2" s="7">
        <v>34825</v>
      </c>
      <c r="K2" s="7">
        <v>15175</v>
      </c>
      <c r="L2" s="6">
        <v>0.30399999999999999</v>
      </c>
      <c r="M2" s="12">
        <f t="shared" ref="M2:M33" si="0">K2/$B$8</f>
        <v>0.22916383515305275</v>
      </c>
    </row>
    <row r="3" spans="1:13" x14ac:dyDescent="0.3">
      <c r="A3" s="15" t="s">
        <v>107</v>
      </c>
      <c r="B3" s="8">
        <v>46241</v>
      </c>
      <c r="E3" s="9">
        <v>31899</v>
      </c>
      <c r="F3" s="9" t="s">
        <v>108</v>
      </c>
      <c r="G3" s="9" t="s">
        <v>12</v>
      </c>
      <c r="H3" s="8">
        <v>46238</v>
      </c>
      <c r="I3" s="7">
        <v>50000</v>
      </c>
      <c r="J3" s="7">
        <v>42725</v>
      </c>
      <c r="K3" s="7">
        <v>7275</v>
      </c>
      <c r="L3" s="6">
        <v>0.14599999999999999</v>
      </c>
      <c r="M3" s="12">
        <f t="shared" si="0"/>
        <v>0.10986272821999728</v>
      </c>
    </row>
    <row r="4" spans="1:13" x14ac:dyDescent="0.3">
      <c r="D4" t="s">
        <v>240</v>
      </c>
      <c r="E4" s="29">
        <v>32119</v>
      </c>
      <c r="F4" s="9" t="s">
        <v>97</v>
      </c>
      <c r="G4" s="9" t="s">
        <v>12</v>
      </c>
      <c r="H4" s="8">
        <v>46241</v>
      </c>
      <c r="I4" s="7">
        <v>26000</v>
      </c>
      <c r="J4" s="7">
        <v>19625</v>
      </c>
      <c r="K4" s="7">
        <v>6375</v>
      </c>
      <c r="L4" s="6">
        <v>0.245</v>
      </c>
      <c r="M4" s="12">
        <f t="shared" si="0"/>
        <v>9.6271462873193492E-2</v>
      </c>
    </row>
    <row r="5" spans="1:13" x14ac:dyDescent="0.3">
      <c r="A5" s="15" t="s">
        <v>105</v>
      </c>
      <c r="B5" s="9">
        <f>SUBTOTAL(3,E2:E1048576)</f>
        <v>74</v>
      </c>
      <c r="E5" s="9">
        <v>32198</v>
      </c>
      <c r="F5" s="9" t="s">
        <v>90</v>
      </c>
      <c r="G5" s="9" t="s">
        <v>12</v>
      </c>
      <c r="H5" s="8">
        <v>46238</v>
      </c>
      <c r="I5" s="7">
        <v>24000</v>
      </c>
      <c r="J5" s="7">
        <v>19640</v>
      </c>
      <c r="K5" s="7">
        <v>4360</v>
      </c>
      <c r="L5" s="6">
        <v>0.182</v>
      </c>
      <c r="M5" s="12">
        <f t="shared" si="0"/>
        <v>6.5842129902293905E-2</v>
      </c>
    </row>
    <row r="6" spans="1:13" x14ac:dyDescent="0.3">
      <c r="A6" s="15" t="s">
        <v>103</v>
      </c>
      <c r="B6" s="20">
        <f>SUBTOTAL(9,I2:I173)</f>
        <v>798634</v>
      </c>
      <c r="E6" s="9">
        <v>32469</v>
      </c>
      <c r="F6" s="9" t="s">
        <v>97</v>
      </c>
      <c r="G6" s="9" t="s">
        <v>12</v>
      </c>
      <c r="H6" s="8">
        <v>46240</v>
      </c>
      <c r="I6" s="7">
        <v>24000</v>
      </c>
      <c r="J6" s="7">
        <v>19925</v>
      </c>
      <c r="K6" s="7">
        <v>4075</v>
      </c>
      <c r="L6" s="6">
        <v>0.17</v>
      </c>
      <c r="M6" s="12">
        <f t="shared" si="0"/>
        <v>6.1538229209139372E-2</v>
      </c>
    </row>
    <row r="7" spans="1:13" x14ac:dyDescent="0.3">
      <c r="A7" s="15" t="s">
        <v>101</v>
      </c>
      <c r="B7" s="20">
        <f>SUBTOTAL(9,J2:J173)</f>
        <v>733007</v>
      </c>
      <c r="D7" s="21"/>
      <c r="E7" s="9">
        <v>32462</v>
      </c>
      <c r="F7" s="9" t="s">
        <v>102</v>
      </c>
      <c r="G7" s="9" t="s">
        <v>12</v>
      </c>
      <c r="H7" s="8">
        <v>46241</v>
      </c>
      <c r="I7" s="7">
        <v>22000</v>
      </c>
      <c r="J7" s="7">
        <v>18900</v>
      </c>
      <c r="K7" s="7">
        <v>3100</v>
      </c>
      <c r="L7" s="6">
        <v>0.14099999999999999</v>
      </c>
      <c r="M7" s="12">
        <f t="shared" si="0"/>
        <v>4.6814358416768599E-2</v>
      </c>
    </row>
    <row r="8" spans="1:13" x14ac:dyDescent="0.3">
      <c r="A8" s="15" t="s">
        <v>99</v>
      </c>
      <c r="B8" s="20">
        <f>SUBTOTAL(9,K2:K173)</f>
        <v>66219</v>
      </c>
      <c r="D8" s="19"/>
      <c r="E8" s="9">
        <v>31611</v>
      </c>
      <c r="F8" s="9" t="s">
        <v>97</v>
      </c>
      <c r="G8" s="9" t="s">
        <v>12</v>
      </c>
      <c r="H8" s="8">
        <v>46237</v>
      </c>
      <c r="I8" s="7">
        <v>50000</v>
      </c>
      <c r="J8" s="7">
        <v>47375</v>
      </c>
      <c r="K8" s="7">
        <v>2625</v>
      </c>
      <c r="L8" s="6">
        <v>5.2999999999999999E-2</v>
      </c>
      <c r="M8" s="12">
        <f t="shared" si="0"/>
        <v>3.9641190594844382E-2</v>
      </c>
    </row>
    <row r="9" spans="1:13" x14ac:dyDescent="0.3">
      <c r="A9" s="15" t="s">
        <v>98</v>
      </c>
      <c r="B9" s="18">
        <f>B8/B6</f>
        <v>8.2915327922427548E-2</v>
      </c>
      <c r="D9" s="17"/>
      <c r="E9" s="9">
        <v>32690</v>
      </c>
      <c r="F9" s="9" t="s">
        <v>173</v>
      </c>
      <c r="G9" s="9" t="s">
        <v>2</v>
      </c>
      <c r="H9" s="8">
        <v>46239</v>
      </c>
      <c r="I9" s="20">
        <v>10000</v>
      </c>
      <c r="J9" s="20">
        <v>7900</v>
      </c>
      <c r="K9" s="20">
        <v>2100</v>
      </c>
      <c r="L9" s="6">
        <v>0.21</v>
      </c>
      <c r="M9" s="12">
        <f t="shared" si="0"/>
        <v>3.1712952475875501E-2</v>
      </c>
    </row>
    <row r="10" spans="1:13" x14ac:dyDescent="0.3">
      <c r="A10" s="15" t="s">
        <v>96</v>
      </c>
      <c r="B10" s="9">
        <f>COUNTIF(L:L,"&gt;=5%")</f>
        <v>28</v>
      </c>
      <c r="D10" s="16"/>
      <c r="E10" s="9">
        <v>32740</v>
      </c>
      <c r="F10" s="9" t="s">
        <v>239</v>
      </c>
      <c r="G10" s="9" t="s">
        <v>238</v>
      </c>
      <c r="H10" s="8">
        <v>46234</v>
      </c>
      <c r="I10" s="20">
        <v>7200</v>
      </c>
      <c r="J10" s="20">
        <v>5360</v>
      </c>
      <c r="K10" s="20">
        <v>1840</v>
      </c>
      <c r="L10" s="6">
        <v>0.25600000000000001</v>
      </c>
      <c r="M10" s="12">
        <f t="shared" si="0"/>
        <v>2.77865869312433E-2</v>
      </c>
    </row>
    <row r="11" spans="1:13" x14ac:dyDescent="0.3">
      <c r="A11" s="15" t="s">
        <v>95</v>
      </c>
      <c r="B11" s="14">
        <f>B10/B5</f>
        <v>0.3783783783783784</v>
      </c>
      <c r="E11" s="9">
        <v>32728</v>
      </c>
      <c r="F11" s="9" t="s">
        <v>232</v>
      </c>
      <c r="G11" s="9" t="s">
        <v>231</v>
      </c>
      <c r="H11" s="8">
        <v>46240</v>
      </c>
      <c r="I11" s="20">
        <v>22000</v>
      </c>
      <c r="J11" s="20">
        <v>20250</v>
      </c>
      <c r="K11" s="20">
        <v>1750</v>
      </c>
      <c r="L11" s="6">
        <v>0.08</v>
      </c>
      <c r="M11" s="12">
        <f t="shared" si="0"/>
        <v>2.6427460396562921E-2</v>
      </c>
    </row>
    <row r="12" spans="1:13" x14ac:dyDescent="0.3">
      <c r="E12" s="9">
        <v>32726</v>
      </c>
      <c r="F12" s="9" t="s">
        <v>232</v>
      </c>
      <c r="G12" s="9" t="s">
        <v>231</v>
      </c>
      <c r="H12" s="8">
        <v>46238</v>
      </c>
      <c r="I12" s="20">
        <v>22000</v>
      </c>
      <c r="J12" s="20">
        <v>20550</v>
      </c>
      <c r="K12" s="20">
        <v>1450</v>
      </c>
      <c r="L12" s="6">
        <v>6.6000000000000003E-2</v>
      </c>
      <c r="M12" s="12">
        <f t="shared" si="0"/>
        <v>2.189703861429499E-2</v>
      </c>
    </row>
    <row r="13" spans="1:13" x14ac:dyDescent="0.3">
      <c r="E13" s="9">
        <v>32496</v>
      </c>
      <c r="F13" s="9" t="s">
        <v>237</v>
      </c>
      <c r="G13" s="9" t="s">
        <v>2</v>
      </c>
      <c r="H13" s="8">
        <v>46234</v>
      </c>
      <c r="I13" s="20">
        <v>22400</v>
      </c>
      <c r="J13" s="20">
        <v>21000</v>
      </c>
      <c r="K13" s="20">
        <v>1400</v>
      </c>
      <c r="L13" s="6">
        <v>6.3E-2</v>
      </c>
      <c r="M13" s="12">
        <f t="shared" si="0"/>
        <v>2.1141968317250338E-2</v>
      </c>
    </row>
    <row r="14" spans="1:13" x14ac:dyDescent="0.3">
      <c r="A14" s="11" t="s">
        <v>236</v>
      </c>
      <c r="B14" s="13">
        <f>B8-'[1]03-08'!B8</f>
        <v>5236</v>
      </c>
      <c r="E14" s="9">
        <v>32541</v>
      </c>
      <c r="F14" s="9" t="s">
        <v>230</v>
      </c>
      <c r="G14" s="9" t="s">
        <v>2</v>
      </c>
      <c r="H14" s="8">
        <v>46240</v>
      </c>
      <c r="I14" s="20">
        <v>16800</v>
      </c>
      <c r="J14" s="20">
        <v>15838</v>
      </c>
      <c r="K14" s="20">
        <v>962</v>
      </c>
      <c r="L14" s="6">
        <v>5.7000000000000002E-2</v>
      </c>
      <c r="M14" s="5">
        <f t="shared" si="0"/>
        <v>1.452755251513916E-2</v>
      </c>
    </row>
    <row r="15" spans="1:13" x14ac:dyDescent="0.3">
      <c r="A15" s="11" t="s">
        <v>236</v>
      </c>
      <c r="B15" s="10">
        <f>B9-'[1]03-08'!B9</f>
        <v>3.2810165986669193E-3</v>
      </c>
      <c r="E15" s="9">
        <v>32689</v>
      </c>
      <c r="F15" s="9" t="s">
        <v>173</v>
      </c>
      <c r="G15" s="9" t="s">
        <v>2</v>
      </c>
      <c r="H15" s="8">
        <v>46239</v>
      </c>
      <c r="I15" s="20">
        <v>15000</v>
      </c>
      <c r="J15" s="20">
        <v>14068</v>
      </c>
      <c r="K15" s="20">
        <v>932</v>
      </c>
      <c r="L15" s="6">
        <v>6.2E-2</v>
      </c>
      <c r="M15" s="5">
        <f t="shared" si="0"/>
        <v>1.4074510336912366E-2</v>
      </c>
    </row>
    <row r="16" spans="1:13" x14ac:dyDescent="0.3">
      <c r="E16" s="9">
        <v>32564</v>
      </c>
      <c r="F16" s="9" t="s">
        <v>235</v>
      </c>
      <c r="G16" s="9" t="s">
        <v>12</v>
      </c>
      <c r="H16" s="8">
        <v>46234</v>
      </c>
      <c r="I16" s="20">
        <v>12000</v>
      </c>
      <c r="J16" s="20">
        <v>11200</v>
      </c>
      <c r="K16" s="20">
        <v>800</v>
      </c>
      <c r="L16" s="6">
        <v>6.7000000000000004E-2</v>
      </c>
      <c r="M16" s="5">
        <f t="shared" si="0"/>
        <v>1.2081124752714478E-2</v>
      </c>
    </row>
    <row r="17" spans="5:13" x14ac:dyDescent="0.3">
      <c r="E17" s="9">
        <v>32729</v>
      </c>
      <c r="F17" s="9" t="s">
        <v>232</v>
      </c>
      <c r="G17" s="9" t="s">
        <v>231</v>
      </c>
      <c r="H17" s="8">
        <v>46239</v>
      </c>
      <c r="I17" s="20">
        <v>22000</v>
      </c>
      <c r="J17" s="20">
        <v>21200</v>
      </c>
      <c r="K17" s="20">
        <v>800</v>
      </c>
      <c r="L17" s="6">
        <v>3.5999999999999997E-2</v>
      </c>
      <c r="M17" s="5">
        <f t="shared" si="0"/>
        <v>1.2081124752714478E-2</v>
      </c>
    </row>
    <row r="18" spans="5:13" x14ac:dyDescent="0.3">
      <c r="E18" s="9">
        <v>32766</v>
      </c>
      <c r="F18" s="9" t="s">
        <v>234</v>
      </c>
      <c r="G18" s="9" t="s">
        <v>12</v>
      </c>
      <c r="H18" s="8">
        <v>46234</v>
      </c>
      <c r="I18" s="20">
        <v>6300</v>
      </c>
      <c r="J18" s="20">
        <v>5513</v>
      </c>
      <c r="K18" s="20">
        <v>787</v>
      </c>
      <c r="L18" s="6">
        <v>0.125</v>
      </c>
      <c r="M18" s="5">
        <f t="shared" si="0"/>
        <v>1.1884806475482868E-2</v>
      </c>
    </row>
    <row r="19" spans="5:13" x14ac:dyDescent="0.3">
      <c r="E19" s="9">
        <v>32765</v>
      </c>
      <c r="F19" s="9" t="s">
        <v>234</v>
      </c>
      <c r="G19" s="9" t="s">
        <v>12</v>
      </c>
      <c r="H19" s="8">
        <v>46234</v>
      </c>
      <c r="I19" s="20">
        <v>8400</v>
      </c>
      <c r="J19" s="20">
        <v>7682</v>
      </c>
      <c r="K19" s="20">
        <v>718</v>
      </c>
      <c r="L19" s="6">
        <v>8.5000000000000006E-2</v>
      </c>
      <c r="M19" s="5">
        <f t="shared" si="0"/>
        <v>1.0842809465561244E-2</v>
      </c>
    </row>
    <row r="20" spans="5:13" x14ac:dyDescent="0.3">
      <c r="E20" s="9">
        <v>31828</v>
      </c>
      <c r="F20" s="9" t="s">
        <v>97</v>
      </c>
      <c r="G20" s="9" t="s">
        <v>12</v>
      </c>
      <c r="H20" s="8">
        <v>46237</v>
      </c>
      <c r="I20" s="20">
        <v>12000</v>
      </c>
      <c r="J20" s="20">
        <v>11300</v>
      </c>
      <c r="K20" s="20">
        <v>700</v>
      </c>
      <c r="L20" s="6">
        <v>5.8000000000000003E-2</v>
      </c>
      <c r="M20" s="5">
        <f t="shared" si="0"/>
        <v>1.0570984158625169E-2</v>
      </c>
    </row>
    <row r="21" spans="5:13" x14ac:dyDescent="0.3">
      <c r="E21" s="9">
        <v>32725</v>
      </c>
      <c r="F21" s="9" t="s">
        <v>232</v>
      </c>
      <c r="G21" s="9" t="s">
        <v>231</v>
      </c>
      <c r="H21" s="8">
        <v>46238</v>
      </c>
      <c r="I21" s="20">
        <v>22000</v>
      </c>
      <c r="J21" s="20">
        <v>21350</v>
      </c>
      <c r="K21" s="20">
        <v>650</v>
      </c>
      <c r="L21" s="6">
        <v>0.03</v>
      </c>
      <c r="M21" s="5">
        <f t="shared" si="0"/>
        <v>9.8159138615805126E-3</v>
      </c>
    </row>
    <row r="22" spans="5:13" x14ac:dyDescent="0.3">
      <c r="E22" s="9">
        <v>32789</v>
      </c>
      <c r="F22" s="9" t="s">
        <v>62</v>
      </c>
      <c r="G22" s="9" t="s">
        <v>61</v>
      </c>
      <c r="H22" s="8">
        <v>46238</v>
      </c>
      <c r="I22" s="20">
        <v>15200</v>
      </c>
      <c r="J22" s="20">
        <v>14658</v>
      </c>
      <c r="K22" s="20">
        <v>542</v>
      </c>
      <c r="L22" s="6">
        <v>3.5999999999999997E-2</v>
      </c>
      <c r="M22" s="5">
        <f t="shared" si="0"/>
        <v>8.1849620199640587E-3</v>
      </c>
    </row>
    <row r="23" spans="5:13" x14ac:dyDescent="0.3">
      <c r="E23" s="9">
        <v>32581</v>
      </c>
      <c r="F23" s="9" t="s">
        <v>233</v>
      </c>
      <c r="G23" s="9" t="s">
        <v>176</v>
      </c>
      <c r="H23" s="8">
        <v>46234</v>
      </c>
      <c r="I23" s="20">
        <v>7350</v>
      </c>
      <c r="J23" s="20">
        <v>6847</v>
      </c>
      <c r="K23" s="20">
        <v>503</v>
      </c>
      <c r="L23" s="6">
        <v>6.8000000000000005E-2</v>
      </c>
      <c r="M23" s="5">
        <f t="shared" si="0"/>
        <v>7.5960071882692276E-3</v>
      </c>
    </row>
    <row r="24" spans="5:13" x14ac:dyDescent="0.3">
      <c r="E24" s="9">
        <v>32605</v>
      </c>
      <c r="F24" s="9" t="s">
        <v>182</v>
      </c>
      <c r="G24" s="9" t="s">
        <v>12</v>
      </c>
      <c r="H24" s="8">
        <v>46239</v>
      </c>
      <c r="I24" s="20">
        <v>19600</v>
      </c>
      <c r="J24" s="20">
        <v>19100</v>
      </c>
      <c r="K24" s="20">
        <v>500</v>
      </c>
      <c r="L24" s="6">
        <v>2.5999999999999999E-2</v>
      </c>
      <c r="M24" s="5">
        <f t="shared" si="0"/>
        <v>7.5507029704465489E-3</v>
      </c>
    </row>
    <row r="25" spans="5:13" x14ac:dyDescent="0.3">
      <c r="E25" s="9">
        <v>32727</v>
      </c>
      <c r="F25" s="9" t="s">
        <v>232</v>
      </c>
      <c r="G25" s="9" t="s">
        <v>231</v>
      </c>
      <c r="H25" s="8">
        <v>46239</v>
      </c>
      <c r="I25" s="20">
        <v>24000</v>
      </c>
      <c r="J25" s="20">
        <v>23500</v>
      </c>
      <c r="K25" s="20">
        <v>500</v>
      </c>
      <c r="L25" s="6">
        <v>2.1000000000000001E-2</v>
      </c>
      <c r="M25" s="5">
        <f t="shared" si="0"/>
        <v>7.5507029704465489E-3</v>
      </c>
    </row>
    <row r="26" spans="5:13" x14ac:dyDescent="0.3">
      <c r="E26" s="9">
        <v>32540</v>
      </c>
      <c r="F26" s="9" t="s">
        <v>230</v>
      </c>
      <c r="G26" s="9" t="s">
        <v>2</v>
      </c>
      <c r="H26" s="8">
        <v>46240</v>
      </c>
      <c r="I26" s="20">
        <v>16800</v>
      </c>
      <c r="J26" s="20">
        <v>16400</v>
      </c>
      <c r="K26" s="20">
        <v>400</v>
      </c>
      <c r="L26" s="6">
        <v>2.4E-2</v>
      </c>
      <c r="M26" s="5">
        <f t="shared" si="0"/>
        <v>6.040562376357239E-3</v>
      </c>
    </row>
    <row r="27" spans="5:13" x14ac:dyDescent="0.3">
      <c r="E27" s="9">
        <v>32790</v>
      </c>
      <c r="F27" s="9" t="s">
        <v>62</v>
      </c>
      <c r="G27" s="9" t="s">
        <v>61</v>
      </c>
      <c r="H27" s="8">
        <v>46237</v>
      </c>
      <c r="I27" s="20">
        <v>15200</v>
      </c>
      <c r="J27" s="20">
        <v>14816</v>
      </c>
      <c r="K27" s="20">
        <v>384</v>
      </c>
      <c r="L27" s="6">
        <v>2.5000000000000001E-2</v>
      </c>
      <c r="M27" s="5">
        <f t="shared" si="0"/>
        <v>5.7989398813029494E-3</v>
      </c>
    </row>
    <row r="28" spans="5:13" x14ac:dyDescent="0.3">
      <c r="E28" s="9">
        <v>32756</v>
      </c>
      <c r="F28" s="9" t="s">
        <v>229</v>
      </c>
      <c r="G28" s="9" t="s">
        <v>2</v>
      </c>
      <c r="H28" s="8">
        <v>46238</v>
      </c>
      <c r="I28" s="20">
        <v>9644</v>
      </c>
      <c r="J28" s="20">
        <v>9262</v>
      </c>
      <c r="K28" s="20">
        <v>382</v>
      </c>
      <c r="L28" s="6">
        <v>0.04</v>
      </c>
      <c r="M28" s="5">
        <f t="shared" si="0"/>
        <v>5.7687370694211627E-3</v>
      </c>
    </row>
    <row r="29" spans="5:13" x14ac:dyDescent="0.3">
      <c r="E29" s="9">
        <v>32748</v>
      </c>
      <c r="F29" s="9" t="s">
        <v>228</v>
      </c>
      <c r="G29" s="9" t="s">
        <v>206</v>
      </c>
      <c r="H29" s="8">
        <v>46234</v>
      </c>
      <c r="I29" s="20">
        <v>5700</v>
      </c>
      <c r="J29" s="20">
        <v>5322</v>
      </c>
      <c r="K29" s="20">
        <v>378</v>
      </c>
      <c r="L29" s="6">
        <v>6.6000000000000003E-2</v>
      </c>
      <c r="M29" s="5">
        <f t="shared" si="0"/>
        <v>5.7083314456575903E-3</v>
      </c>
    </row>
    <row r="30" spans="5:13" x14ac:dyDescent="0.3">
      <c r="E30" s="9">
        <v>32758</v>
      </c>
      <c r="F30" s="9" t="s">
        <v>193</v>
      </c>
      <c r="G30" s="9" t="s">
        <v>192</v>
      </c>
      <c r="H30" s="8">
        <v>46234</v>
      </c>
      <c r="I30" s="20">
        <v>3120</v>
      </c>
      <c r="J30" s="20">
        <v>2750</v>
      </c>
      <c r="K30" s="20">
        <v>370</v>
      </c>
      <c r="L30" s="6">
        <v>0.11899999999999999</v>
      </c>
      <c r="M30" s="5">
        <f t="shared" si="0"/>
        <v>5.5875201981304455E-3</v>
      </c>
    </row>
    <row r="31" spans="5:13" x14ac:dyDescent="0.3">
      <c r="E31" s="9">
        <v>32767</v>
      </c>
      <c r="F31" s="9" t="s">
        <v>227</v>
      </c>
      <c r="G31" s="9" t="s">
        <v>226</v>
      </c>
      <c r="H31" s="8">
        <v>46234</v>
      </c>
      <c r="I31" s="20">
        <v>4200</v>
      </c>
      <c r="J31" s="20">
        <v>3899</v>
      </c>
      <c r="K31" s="20">
        <v>301</v>
      </c>
      <c r="L31" s="6">
        <v>7.1999999999999995E-2</v>
      </c>
      <c r="M31" s="5">
        <f t="shared" si="0"/>
        <v>4.5455231882088219E-3</v>
      </c>
    </row>
    <row r="32" spans="5:13" x14ac:dyDescent="0.3">
      <c r="E32" s="9">
        <v>32768</v>
      </c>
      <c r="F32" s="9" t="s">
        <v>227</v>
      </c>
      <c r="G32" s="9" t="s">
        <v>226</v>
      </c>
      <c r="H32" s="8">
        <v>46238</v>
      </c>
      <c r="I32" s="20">
        <v>4200</v>
      </c>
      <c r="J32" s="20">
        <v>3927</v>
      </c>
      <c r="K32" s="20">
        <v>273</v>
      </c>
      <c r="L32" s="6">
        <v>6.5000000000000002E-2</v>
      </c>
      <c r="M32" s="5">
        <f t="shared" si="0"/>
        <v>4.1226838218638151E-3</v>
      </c>
    </row>
    <row r="33" spans="5:13" x14ac:dyDescent="0.3">
      <c r="E33" s="9">
        <v>32738</v>
      </c>
      <c r="F33" s="9" t="s">
        <v>225</v>
      </c>
      <c r="G33" s="9" t="s">
        <v>214</v>
      </c>
      <c r="H33" s="8">
        <v>46237</v>
      </c>
      <c r="I33" s="20">
        <v>2100</v>
      </c>
      <c r="J33" s="20">
        <v>1872</v>
      </c>
      <c r="K33" s="20">
        <v>228</v>
      </c>
      <c r="L33" s="6">
        <v>0.109</v>
      </c>
      <c r="M33" s="5">
        <f t="shared" si="0"/>
        <v>3.4431205545236263E-3</v>
      </c>
    </row>
    <row r="34" spans="5:13" x14ac:dyDescent="0.3">
      <c r="E34" s="9">
        <v>32801</v>
      </c>
      <c r="F34" s="9" t="s">
        <v>78</v>
      </c>
      <c r="G34" s="9" t="s">
        <v>30</v>
      </c>
      <c r="H34" s="8">
        <v>46238</v>
      </c>
      <c r="I34" s="20">
        <v>3800</v>
      </c>
      <c r="J34" s="20">
        <v>3577</v>
      </c>
      <c r="K34" s="20">
        <v>223</v>
      </c>
      <c r="L34" s="6">
        <v>5.8999999999999997E-2</v>
      </c>
      <c r="M34" s="5">
        <f t="shared" ref="M34:M65" si="1">K34/$B$8</f>
        <v>3.3676135248191606E-3</v>
      </c>
    </row>
    <row r="35" spans="5:13" x14ac:dyDescent="0.3">
      <c r="E35" s="9">
        <v>32814</v>
      </c>
      <c r="F35" s="9" t="s">
        <v>65</v>
      </c>
      <c r="G35" s="9" t="s">
        <v>64</v>
      </c>
      <c r="H35" s="8">
        <v>46241</v>
      </c>
      <c r="I35" s="20">
        <v>5400</v>
      </c>
      <c r="J35" s="20">
        <v>5190</v>
      </c>
      <c r="K35" s="20">
        <v>210</v>
      </c>
      <c r="L35" s="6">
        <v>3.9E-2</v>
      </c>
      <c r="M35" s="5">
        <f t="shared" si="1"/>
        <v>3.1712952475875505E-3</v>
      </c>
    </row>
    <row r="36" spans="5:13" x14ac:dyDescent="0.3">
      <c r="E36" s="9">
        <v>32815</v>
      </c>
      <c r="F36" s="9" t="s">
        <v>224</v>
      </c>
      <c r="G36" s="9" t="s">
        <v>30</v>
      </c>
      <c r="H36" s="8">
        <v>46240</v>
      </c>
      <c r="I36" s="20">
        <v>5700</v>
      </c>
      <c r="J36" s="20">
        <v>5498</v>
      </c>
      <c r="K36" s="20">
        <v>202</v>
      </c>
      <c r="L36" s="6">
        <v>3.5000000000000003E-2</v>
      </c>
      <c r="M36" s="5">
        <f t="shared" si="1"/>
        <v>3.0504840000604057E-3</v>
      </c>
    </row>
    <row r="37" spans="5:13" x14ac:dyDescent="0.3">
      <c r="E37" s="9">
        <v>32857</v>
      </c>
      <c r="F37" s="9" t="s">
        <v>62</v>
      </c>
      <c r="G37" s="9" t="s">
        <v>61</v>
      </c>
      <c r="H37" s="8">
        <v>46241</v>
      </c>
      <c r="I37" s="20">
        <v>7600</v>
      </c>
      <c r="J37" s="20">
        <v>7418</v>
      </c>
      <c r="K37" s="20">
        <v>182</v>
      </c>
      <c r="L37" s="6">
        <v>2.4E-2</v>
      </c>
      <c r="M37" s="5">
        <f t="shared" si="1"/>
        <v>2.7484558812425437E-3</v>
      </c>
    </row>
    <row r="38" spans="5:13" x14ac:dyDescent="0.3">
      <c r="E38" s="9">
        <v>32799</v>
      </c>
      <c r="F38" s="9" t="s">
        <v>223</v>
      </c>
      <c r="G38" s="9" t="s">
        <v>222</v>
      </c>
      <c r="H38" s="8">
        <v>46237</v>
      </c>
      <c r="I38" s="20">
        <v>3800</v>
      </c>
      <c r="J38" s="20">
        <v>3626</v>
      </c>
      <c r="K38" s="20">
        <v>174</v>
      </c>
      <c r="L38" s="6">
        <v>4.5999999999999999E-2</v>
      </c>
      <c r="M38" s="5">
        <f t="shared" si="1"/>
        <v>2.6276446337153989E-3</v>
      </c>
    </row>
    <row r="39" spans="5:13" x14ac:dyDescent="0.3">
      <c r="E39" s="9">
        <v>32682</v>
      </c>
      <c r="F39" s="9" t="s">
        <v>218</v>
      </c>
      <c r="G39" s="9" t="s">
        <v>71</v>
      </c>
      <c r="H39" s="8">
        <v>46237</v>
      </c>
      <c r="I39" s="20">
        <v>9800</v>
      </c>
      <c r="J39" s="20">
        <v>9628</v>
      </c>
      <c r="K39" s="20">
        <v>172</v>
      </c>
      <c r="L39" s="6">
        <v>1.7999999999999999E-2</v>
      </c>
      <c r="M39" s="5">
        <f t="shared" si="1"/>
        <v>2.5974418218336127E-3</v>
      </c>
    </row>
    <row r="40" spans="5:13" x14ac:dyDescent="0.3">
      <c r="E40" s="9">
        <v>32739</v>
      </c>
      <c r="F40" s="9" t="s">
        <v>221</v>
      </c>
      <c r="G40" s="9" t="s">
        <v>214</v>
      </c>
      <c r="H40" s="8">
        <v>46237</v>
      </c>
      <c r="I40" s="20">
        <v>2100</v>
      </c>
      <c r="J40" s="20">
        <v>1944</v>
      </c>
      <c r="K40" s="20">
        <v>156</v>
      </c>
      <c r="L40" s="6">
        <v>7.3999999999999996E-2</v>
      </c>
      <c r="M40" s="5">
        <f t="shared" si="1"/>
        <v>2.3558193267793231E-3</v>
      </c>
    </row>
    <row r="41" spans="5:13" x14ac:dyDescent="0.3">
      <c r="E41" s="9">
        <v>32796</v>
      </c>
      <c r="F41" s="9" t="s">
        <v>220</v>
      </c>
      <c r="G41" s="9" t="s">
        <v>219</v>
      </c>
      <c r="H41" s="8">
        <v>46237</v>
      </c>
      <c r="I41" s="20">
        <v>4200</v>
      </c>
      <c r="J41" s="20">
        <v>4048</v>
      </c>
      <c r="K41" s="20">
        <v>152</v>
      </c>
      <c r="L41" s="6">
        <v>3.5999999999999997E-2</v>
      </c>
      <c r="M41" s="5">
        <f t="shared" si="1"/>
        <v>2.2954137030157507E-3</v>
      </c>
    </row>
    <row r="42" spans="5:13" x14ac:dyDescent="0.3">
      <c r="E42" s="9">
        <v>32681</v>
      </c>
      <c r="F42" s="9" t="s">
        <v>218</v>
      </c>
      <c r="G42" s="9" t="s">
        <v>71</v>
      </c>
      <c r="H42" s="8">
        <v>46234</v>
      </c>
      <c r="I42" s="20">
        <v>11200</v>
      </c>
      <c r="J42" s="20">
        <v>11050</v>
      </c>
      <c r="K42" s="20">
        <v>150</v>
      </c>
      <c r="L42" s="6">
        <v>1.2999999999999999E-2</v>
      </c>
      <c r="M42" s="5">
        <f t="shared" si="1"/>
        <v>2.2652108911339645E-3</v>
      </c>
    </row>
    <row r="43" spans="5:13" x14ac:dyDescent="0.3">
      <c r="E43" s="9">
        <v>32770</v>
      </c>
      <c r="F43" s="9" t="s">
        <v>11</v>
      </c>
      <c r="G43" s="9" t="s">
        <v>187</v>
      </c>
      <c r="H43" s="8">
        <v>46239</v>
      </c>
      <c r="I43" s="20">
        <v>15750</v>
      </c>
      <c r="J43" s="20">
        <v>15600</v>
      </c>
      <c r="K43" s="20">
        <v>150</v>
      </c>
      <c r="L43" s="6">
        <v>0.01</v>
      </c>
      <c r="M43" s="5">
        <f t="shared" si="1"/>
        <v>2.2652108911339645E-3</v>
      </c>
    </row>
    <row r="44" spans="5:13" x14ac:dyDescent="0.3">
      <c r="E44" s="9">
        <v>32771</v>
      </c>
      <c r="F44" s="9" t="s">
        <v>217</v>
      </c>
      <c r="G44" s="9" t="s">
        <v>10</v>
      </c>
      <c r="H44" s="8">
        <v>46239</v>
      </c>
      <c r="I44" s="20">
        <v>15750</v>
      </c>
      <c r="J44" s="20">
        <v>15600</v>
      </c>
      <c r="K44" s="20">
        <v>150</v>
      </c>
      <c r="L44" s="6">
        <v>0.01</v>
      </c>
      <c r="M44" s="5">
        <f t="shared" si="1"/>
        <v>2.2652108911339645E-3</v>
      </c>
    </row>
    <row r="45" spans="5:13" x14ac:dyDescent="0.3">
      <c r="E45" s="9">
        <v>32818</v>
      </c>
      <c r="F45" s="9" t="s">
        <v>216</v>
      </c>
      <c r="G45" s="9" t="s">
        <v>45</v>
      </c>
      <c r="H45" s="8">
        <v>46240</v>
      </c>
      <c r="I45" s="20">
        <v>2100</v>
      </c>
      <c r="J45" s="20">
        <v>1967</v>
      </c>
      <c r="K45" s="20">
        <v>133</v>
      </c>
      <c r="L45" s="6">
        <v>6.3E-2</v>
      </c>
      <c r="M45" s="5">
        <f t="shared" si="1"/>
        <v>2.008486990138782E-3</v>
      </c>
    </row>
    <row r="46" spans="5:13" x14ac:dyDescent="0.3">
      <c r="E46" s="9">
        <v>32737</v>
      </c>
      <c r="F46" s="9" t="s">
        <v>215</v>
      </c>
      <c r="G46" s="9" t="s">
        <v>214</v>
      </c>
      <c r="H46" s="8">
        <v>46234</v>
      </c>
      <c r="I46" s="20">
        <v>2100</v>
      </c>
      <c r="J46" s="20">
        <v>1968</v>
      </c>
      <c r="K46" s="20">
        <v>132</v>
      </c>
      <c r="L46" s="6">
        <v>6.3E-2</v>
      </c>
      <c r="M46" s="5">
        <f t="shared" si="1"/>
        <v>1.9933855841978887E-3</v>
      </c>
    </row>
    <row r="47" spans="5:13" x14ac:dyDescent="0.3">
      <c r="E47" s="9">
        <v>32806</v>
      </c>
      <c r="F47" s="9" t="s">
        <v>213</v>
      </c>
      <c r="G47" s="9" t="s">
        <v>212</v>
      </c>
      <c r="H47" s="8">
        <v>46239</v>
      </c>
      <c r="I47" s="20">
        <v>6300</v>
      </c>
      <c r="J47" s="20">
        <v>6175</v>
      </c>
      <c r="K47" s="20">
        <v>125</v>
      </c>
      <c r="L47" s="6">
        <v>0.02</v>
      </c>
      <c r="M47" s="5">
        <f t="shared" si="1"/>
        <v>1.8876757426116372E-3</v>
      </c>
    </row>
    <row r="48" spans="5:13" x14ac:dyDescent="0.3">
      <c r="E48" s="9">
        <v>32800</v>
      </c>
      <c r="F48" s="9" t="s">
        <v>39</v>
      </c>
      <c r="G48" s="9" t="s">
        <v>24</v>
      </c>
      <c r="H48" s="8">
        <v>46238</v>
      </c>
      <c r="I48" s="20">
        <v>2400</v>
      </c>
      <c r="J48" s="20">
        <v>2285</v>
      </c>
      <c r="K48" s="20">
        <v>115</v>
      </c>
      <c r="L48" s="6">
        <v>4.8000000000000001E-2</v>
      </c>
      <c r="M48" s="5">
        <f t="shared" si="1"/>
        <v>1.7366616832027062E-3</v>
      </c>
    </row>
    <row r="49" spans="5:13" x14ac:dyDescent="0.3">
      <c r="E49" s="9">
        <v>32773</v>
      </c>
      <c r="F49" s="9" t="s">
        <v>161</v>
      </c>
      <c r="G49" s="9" t="s">
        <v>12</v>
      </c>
      <c r="H49" s="8">
        <v>46237</v>
      </c>
      <c r="I49" s="20">
        <v>3000</v>
      </c>
      <c r="J49" s="20">
        <v>2895</v>
      </c>
      <c r="K49" s="20">
        <v>105</v>
      </c>
      <c r="L49" s="6">
        <v>3.5000000000000003E-2</v>
      </c>
      <c r="M49" s="5">
        <f t="shared" si="1"/>
        <v>1.5856476237937752E-3</v>
      </c>
    </row>
    <row r="50" spans="5:13" x14ac:dyDescent="0.3">
      <c r="E50" s="9">
        <v>32802</v>
      </c>
      <c r="F50" s="9" t="s">
        <v>211</v>
      </c>
      <c r="G50" s="9" t="s">
        <v>28</v>
      </c>
      <c r="H50" s="8">
        <v>46238</v>
      </c>
      <c r="I50" s="20">
        <v>12600</v>
      </c>
      <c r="J50" s="20">
        <v>12500</v>
      </c>
      <c r="K50" s="20">
        <v>100</v>
      </c>
      <c r="L50" s="6">
        <v>8.0000000000000002E-3</v>
      </c>
      <c r="M50" s="5">
        <f t="shared" si="1"/>
        <v>1.5101405940893097E-3</v>
      </c>
    </row>
    <row r="51" spans="5:13" x14ac:dyDescent="0.3">
      <c r="E51" s="9">
        <v>32804</v>
      </c>
      <c r="F51" s="9" t="s">
        <v>210</v>
      </c>
      <c r="G51" s="9" t="s">
        <v>197</v>
      </c>
      <c r="H51" s="8">
        <v>46239</v>
      </c>
      <c r="I51" s="20">
        <v>4200</v>
      </c>
      <c r="J51" s="20">
        <v>4113</v>
      </c>
      <c r="K51" s="20">
        <v>87</v>
      </c>
      <c r="L51" s="6">
        <v>2.1000000000000001E-2</v>
      </c>
      <c r="M51" s="5">
        <f t="shared" si="1"/>
        <v>1.3138223168576994E-3</v>
      </c>
    </row>
    <row r="52" spans="5:13" x14ac:dyDescent="0.3">
      <c r="E52" s="9">
        <v>32813</v>
      </c>
      <c r="F52" s="9" t="s">
        <v>46</v>
      </c>
      <c r="G52" s="9" t="s">
        <v>45</v>
      </c>
      <c r="H52" s="8">
        <v>46241</v>
      </c>
      <c r="I52" s="20">
        <v>2100</v>
      </c>
      <c r="J52" s="20">
        <v>2013</v>
      </c>
      <c r="K52" s="20">
        <v>87</v>
      </c>
      <c r="L52" s="6">
        <v>4.1000000000000002E-2</v>
      </c>
      <c r="M52" s="5">
        <f t="shared" si="1"/>
        <v>1.3138223168576994E-3</v>
      </c>
    </row>
    <row r="53" spans="5:13" x14ac:dyDescent="0.3">
      <c r="E53" s="9">
        <v>32835</v>
      </c>
      <c r="F53" s="9" t="s">
        <v>209</v>
      </c>
      <c r="G53" s="9" t="s">
        <v>185</v>
      </c>
      <c r="H53" s="8">
        <v>46240</v>
      </c>
      <c r="I53" s="20">
        <v>2100</v>
      </c>
      <c r="J53" s="20">
        <v>2015</v>
      </c>
      <c r="K53" s="20">
        <v>85</v>
      </c>
      <c r="L53" s="6">
        <v>0.04</v>
      </c>
      <c r="M53" s="5">
        <f t="shared" si="1"/>
        <v>1.2836195049759132E-3</v>
      </c>
    </row>
    <row r="54" spans="5:13" x14ac:dyDescent="0.3">
      <c r="E54" s="9">
        <v>32832</v>
      </c>
      <c r="F54" s="9" t="s">
        <v>134</v>
      </c>
      <c r="G54" s="9" t="s">
        <v>133</v>
      </c>
      <c r="H54" s="8">
        <v>46240</v>
      </c>
      <c r="I54" s="20">
        <v>2200</v>
      </c>
      <c r="J54" s="20">
        <v>2117</v>
      </c>
      <c r="K54" s="20">
        <v>83</v>
      </c>
      <c r="L54" s="6">
        <v>3.7999999999999999E-2</v>
      </c>
      <c r="M54" s="5">
        <f t="shared" si="1"/>
        <v>1.253416693094127E-3</v>
      </c>
    </row>
    <row r="55" spans="5:13" x14ac:dyDescent="0.3">
      <c r="E55" s="9">
        <v>32833</v>
      </c>
      <c r="F55" s="9" t="s">
        <v>208</v>
      </c>
      <c r="G55" s="9" t="s">
        <v>185</v>
      </c>
      <c r="H55" s="8">
        <v>46240</v>
      </c>
      <c r="I55" s="20">
        <v>2100</v>
      </c>
      <c r="J55" s="20">
        <v>2017</v>
      </c>
      <c r="K55" s="20">
        <v>83</v>
      </c>
      <c r="L55" s="6">
        <v>0.04</v>
      </c>
      <c r="M55" s="5">
        <f t="shared" si="1"/>
        <v>1.253416693094127E-3</v>
      </c>
    </row>
    <row r="56" spans="5:13" x14ac:dyDescent="0.3">
      <c r="E56" s="9">
        <v>32749</v>
      </c>
      <c r="F56" s="9" t="s">
        <v>207</v>
      </c>
      <c r="G56" s="9" t="s">
        <v>206</v>
      </c>
      <c r="H56" s="8">
        <v>46234</v>
      </c>
      <c r="I56" s="20">
        <v>5700</v>
      </c>
      <c r="J56" s="20">
        <v>5619</v>
      </c>
      <c r="K56" s="20">
        <v>81</v>
      </c>
      <c r="L56" s="6">
        <v>1.4E-2</v>
      </c>
      <c r="M56" s="5">
        <f t="shared" si="1"/>
        <v>1.2232138812123408E-3</v>
      </c>
    </row>
    <row r="57" spans="5:13" x14ac:dyDescent="0.3">
      <c r="E57" s="9">
        <v>32763</v>
      </c>
      <c r="F57" s="9" t="s">
        <v>205</v>
      </c>
      <c r="G57" s="9" t="s">
        <v>204</v>
      </c>
      <c r="H57" s="8">
        <v>46234</v>
      </c>
      <c r="I57" s="20">
        <v>2100</v>
      </c>
      <c r="J57" s="20">
        <v>2020</v>
      </c>
      <c r="K57" s="20">
        <v>80</v>
      </c>
      <c r="L57" s="6">
        <v>3.7999999999999999E-2</v>
      </c>
      <c r="M57" s="5">
        <f t="shared" si="1"/>
        <v>1.2081124752714477E-3</v>
      </c>
    </row>
    <row r="58" spans="5:13" x14ac:dyDescent="0.3">
      <c r="E58" s="9">
        <v>32834</v>
      </c>
      <c r="F58" s="9" t="s">
        <v>203</v>
      </c>
      <c r="G58" s="9" t="s">
        <v>185</v>
      </c>
      <c r="H58" s="8">
        <v>46240</v>
      </c>
      <c r="I58" s="20">
        <v>2100</v>
      </c>
      <c r="J58" s="20">
        <v>2047</v>
      </c>
      <c r="K58" s="20">
        <v>53</v>
      </c>
      <c r="L58" s="6">
        <v>2.5000000000000001E-2</v>
      </c>
      <c r="M58" s="5">
        <f t="shared" si="1"/>
        <v>8.0037451486733417E-4</v>
      </c>
    </row>
    <row r="59" spans="5:13" x14ac:dyDescent="0.3">
      <c r="E59" s="9">
        <v>32805</v>
      </c>
      <c r="F59" s="9" t="s">
        <v>202</v>
      </c>
      <c r="G59" s="9" t="s">
        <v>197</v>
      </c>
      <c r="H59" s="8">
        <v>46240</v>
      </c>
      <c r="I59" s="20">
        <v>2100</v>
      </c>
      <c r="J59" s="20">
        <v>2049</v>
      </c>
      <c r="K59" s="20">
        <v>51</v>
      </c>
      <c r="L59" s="6">
        <v>2.4E-2</v>
      </c>
      <c r="M59" s="5">
        <f t="shared" si="1"/>
        <v>7.7017170298554797E-4</v>
      </c>
    </row>
    <row r="60" spans="5:13" x14ac:dyDescent="0.3">
      <c r="E60" s="9">
        <v>32798</v>
      </c>
      <c r="F60" s="9" t="s">
        <v>201</v>
      </c>
      <c r="G60" s="9" t="s">
        <v>194</v>
      </c>
      <c r="H60" s="8">
        <v>46237</v>
      </c>
      <c r="I60" s="20">
        <v>2100</v>
      </c>
      <c r="J60" s="20">
        <v>2050</v>
      </c>
      <c r="K60" s="20">
        <v>50</v>
      </c>
      <c r="L60" s="6">
        <v>2.4E-2</v>
      </c>
      <c r="M60" s="5">
        <f t="shared" si="1"/>
        <v>7.5507029704465487E-4</v>
      </c>
    </row>
    <row r="61" spans="5:13" x14ac:dyDescent="0.3">
      <c r="E61" s="9">
        <v>32855</v>
      </c>
      <c r="F61" s="9" t="s">
        <v>39</v>
      </c>
      <c r="G61" s="9" t="s">
        <v>24</v>
      </c>
      <c r="H61" s="8">
        <v>46241</v>
      </c>
      <c r="I61" s="20">
        <v>1200</v>
      </c>
      <c r="J61" s="20">
        <v>1150</v>
      </c>
      <c r="K61" s="20">
        <v>50</v>
      </c>
      <c r="L61" s="6">
        <v>4.2000000000000003E-2</v>
      </c>
      <c r="M61" s="5">
        <f t="shared" si="1"/>
        <v>7.5507029704465487E-4</v>
      </c>
    </row>
    <row r="62" spans="5:13" x14ac:dyDescent="0.3">
      <c r="E62" s="9">
        <v>32788</v>
      </c>
      <c r="F62" s="9" t="s">
        <v>200</v>
      </c>
      <c r="G62" s="9" t="s">
        <v>199</v>
      </c>
      <c r="H62" s="8">
        <v>46237</v>
      </c>
      <c r="I62" s="20">
        <v>1900</v>
      </c>
      <c r="J62" s="20">
        <v>1854</v>
      </c>
      <c r="K62" s="20">
        <v>46</v>
      </c>
      <c r="L62" s="6">
        <v>2.4E-2</v>
      </c>
      <c r="M62" s="5">
        <f t="shared" si="1"/>
        <v>6.9466467328108247E-4</v>
      </c>
    </row>
    <row r="63" spans="5:13" x14ac:dyDescent="0.3">
      <c r="E63" s="9">
        <v>32803</v>
      </c>
      <c r="F63" s="9" t="s">
        <v>198</v>
      </c>
      <c r="G63" s="9" t="s">
        <v>197</v>
      </c>
      <c r="H63" s="8">
        <v>46239</v>
      </c>
      <c r="I63" s="20">
        <v>2100</v>
      </c>
      <c r="J63" s="20">
        <v>2057</v>
      </c>
      <c r="K63" s="20">
        <v>43</v>
      </c>
      <c r="L63" s="6">
        <v>0.02</v>
      </c>
      <c r="M63" s="5">
        <f t="shared" si="1"/>
        <v>6.4936045545840317E-4</v>
      </c>
    </row>
    <row r="64" spans="5:13" x14ac:dyDescent="0.3">
      <c r="E64" s="9">
        <v>32754</v>
      </c>
      <c r="F64" s="9" t="s">
        <v>196</v>
      </c>
      <c r="G64" s="9" t="s">
        <v>2</v>
      </c>
      <c r="H64" s="8">
        <v>46234</v>
      </c>
      <c r="I64" s="20">
        <v>2000</v>
      </c>
      <c r="J64" s="20">
        <v>1970</v>
      </c>
      <c r="K64" s="20">
        <v>30</v>
      </c>
      <c r="L64" s="6">
        <v>1.4999999999999999E-2</v>
      </c>
      <c r="M64" s="5">
        <f t="shared" si="1"/>
        <v>4.5304217822679293E-4</v>
      </c>
    </row>
    <row r="65" spans="5:13" x14ac:dyDescent="0.3">
      <c r="E65" s="9">
        <v>32797</v>
      </c>
      <c r="F65" s="9" t="s">
        <v>195</v>
      </c>
      <c r="G65" s="9" t="s">
        <v>194</v>
      </c>
      <c r="H65" s="8">
        <v>46237</v>
      </c>
      <c r="I65" s="20">
        <v>2100</v>
      </c>
      <c r="J65" s="20">
        <v>2076</v>
      </c>
      <c r="K65" s="20">
        <v>24</v>
      </c>
      <c r="L65" s="6">
        <v>1.0999999999999999E-2</v>
      </c>
      <c r="M65" s="5">
        <f t="shared" si="1"/>
        <v>3.6243374258143434E-4</v>
      </c>
    </row>
    <row r="66" spans="5:13" x14ac:dyDescent="0.3">
      <c r="E66" s="9">
        <v>32759</v>
      </c>
      <c r="F66" s="9" t="s">
        <v>193</v>
      </c>
      <c r="G66" s="9" t="s">
        <v>192</v>
      </c>
      <c r="H66" s="8">
        <v>46234</v>
      </c>
      <c r="I66" s="20">
        <v>3120</v>
      </c>
      <c r="J66" s="20">
        <v>3100</v>
      </c>
      <c r="K66" s="20">
        <v>20</v>
      </c>
      <c r="L66" s="6">
        <v>6.0000000000000001E-3</v>
      </c>
      <c r="M66" s="5">
        <f t="shared" ref="M66:M76" si="2">K66/$B$8</f>
        <v>3.0202811881786194E-4</v>
      </c>
    </row>
    <row r="67" spans="5:13" x14ac:dyDescent="0.3">
      <c r="E67" s="9">
        <v>32685</v>
      </c>
      <c r="F67" s="9" t="s">
        <v>191</v>
      </c>
      <c r="G67" s="9" t="s">
        <v>64</v>
      </c>
      <c r="H67" s="8">
        <v>46234</v>
      </c>
      <c r="I67" s="20">
        <v>3600</v>
      </c>
      <c r="J67" s="20">
        <v>3606</v>
      </c>
      <c r="K67" s="20">
        <v>0</v>
      </c>
      <c r="L67" s="6">
        <v>0</v>
      </c>
      <c r="M67" s="5">
        <f t="shared" si="2"/>
        <v>0</v>
      </c>
    </row>
    <row r="68" spans="5:13" x14ac:dyDescent="0.3">
      <c r="E68" s="9">
        <v>32696</v>
      </c>
      <c r="F68" s="9" t="s">
        <v>190</v>
      </c>
      <c r="G68" s="9" t="s">
        <v>2</v>
      </c>
      <c r="H68" s="8">
        <v>46237</v>
      </c>
      <c r="I68" s="20">
        <v>21600</v>
      </c>
      <c r="J68" s="20">
        <v>21600</v>
      </c>
      <c r="K68" s="20">
        <v>0</v>
      </c>
      <c r="L68" s="6">
        <v>0</v>
      </c>
      <c r="M68" s="5">
        <f t="shared" si="2"/>
        <v>0</v>
      </c>
    </row>
    <row r="69" spans="5:13" x14ac:dyDescent="0.3">
      <c r="E69" s="9">
        <v>32736</v>
      </c>
      <c r="F69" s="9" t="s">
        <v>189</v>
      </c>
      <c r="G69" s="9" t="s">
        <v>170</v>
      </c>
      <c r="H69" s="8">
        <v>46234</v>
      </c>
      <c r="I69" s="20">
        <v>15000</v>
      </c>
      <c r="J69" s="20">
        <v>15100</v>
      </c>
      <c r="K69" s="20">
        <v>0</v>
      </c>
      <c r="L69" s="6">
        <v>0</v>
      </c>
      <c r="M69" s="5">
        <f t="shared" si="2"/>
        <v>0</v>
      </c>
    </row>
    <row r="70" spans="5:13" x14ac:dyDescent="0.3">
      <c r="E70" s="9">
        <v>32772</v>
      </c>
      <c r="F70" s="9" t="s">
        <v>188</v>
      </c>
      <c r="G70" s="9" t="s">
        <v>187</v>
      </c>
      <c r="H70" s="8">
        <v>46237</v>
      </c>
      <c r="I70" s="20">
        <v>10400</v>
      </c>
      <c r="J70" s="20">
        <v>10400</v>
      </c>
      <c r="K70" s="20">
        <v>0</v>
      </c>
      <c r="L70" s="6">
        <v>0</v>
      </c>
      <c r="M70" s="5">
        <f t="shared" si="2"/>
        <v>0</v>
      </c>
    </row>
    <row r="71" spans="5:13" x14ac:dyDescent="0.3">
      <c r="E71" s="9">
        <v>32774</v>
      </c>
      <c r="F71" s="9" t="s">
        <v>18</v>
      </c>
      <c r="G71" s="9" t="s">
        <v>12</v>
      </c>
      <c r="H71" s="8">
        <v>46237</v>
      </c>
      <c r="I71" s="20">
        <v>8400</v>
      </c>
      <c r="J71" s="20">
        <v>8600</v>
      </c>
      <c r="K71" s="20">
        <v>0</v>
      </c>
      <c r="L71" s="6">
        <v>0</v>
      </c>
      <c r="M71" s="5">
        <f t="shared" si="2"/>
        <v>0</v>
      </c>
    </row>
    <row r="72" spans="5:13" x14ac:dyDescent="0.3">
      <c r="E72" s="9">
        <v>32775</v>
      </c>
      <c r="F72" s="9" t="s">
        <v>124</v>
      </c>
      <c r="G72" s="9" t="s">
        <v>12</v>
      </c>
      <c r="H72" s="8">
        <v>46237</v>
      </c>
      <c r="I72" s="20">
        <v>5600</v>
      </c>
      <c r="J72" s="20">
        <v>5670</v>
      </c>
      <c r="K72" s="20">
        <v>0</v>
      </c>
      <c r="L72" s="6">
        <v>0</v>
      </c>
      <c r="M72" s="5">
        <f t="shared" si="2"/>
        <v>0</v>
      </c>
    </row>
    <row r="73" spans="5:13" x14ac:dyDescent="0.3">
      <c r="E73" s="9">
        <v>32831</v>
      </c>
      <c r="F73" s="9" t="s">
        <v>186</v>
      </c>
      <c r="G73" s="9" t="s">
        <v>185</v>
      </c>
      <c r="H73" s="8">
        <v>46240</v>
      </c>
      <c r="I73" s="20">
        <v>6000</v>
      </c>
      <c r="J73" s="20">
        <v>6185</v>
      </c>
      <c r="K73" s="20">
        <v>0</v>
      </c>
      <c r="L73" s="6">
        <v>0</v>
      </c>
      <c r="M73" s="5">
        <f t="shared" si="2"/>
        <v>0</v>
      </c>
    </row>
    <row r="74" spans="5:13" x14ac:dyDescent="0.3">
      <c r="E74" s="9">
        <v>32836</v>
      </c>
      <c r="F74" s="9" t="s">
        <v>184</v>
      </c>
      <c r="G74" s="9" t="s">
        <v>12</v>
      </c>
      <c r="H74" s="8">
        <v>46239</v>
      </c>
      <c r="I74" s="20">
        <v>2400</v>
      </c>
      <c r="J74" s="20">
        <v>2412</v>
      </c>
      <c r="K74" s="20">
        <v>0</v>
      </c>
      <c r="L74" s="6">
        <v>0</v>
      </c>
      <c r="M74" s="5">
        <f t="shared" si="2"/>
        <v>0</v>
      </c>
    </row>
    <row r="75" spans="5:13" x14ac:dyDescent="0.3">
      <c r="E75" s="9">
        <v>32854</v>
      </c>
      <c r="F75" s="9" t="s">
        <v>183</v>
      </c>
      <c r="G75" s="9" t="s">
        <v>2</v>
      </c>
      <c r="H75" s="8">
        <v>46240</v>
      </c>
      <c r="I75" s="20">
        <v>1600</v>
      </c>
      <c r="J75" s="20">
        <v>1619</v>
      </c>
      <c r="K75" s="20">
        <v>0</v>
      </c>
      <c r="L75" s="6">
        <v>0</v>
      </c>
      <c r="M75" s="5">
        <f t="shared" si="2"/>
        <v>0</v>
      </c>
    </row>
    <row r="76" spans="5:13" x14ac:dyDescent="0.3">
      <c r="E76" s="9"/>
      <c r="F76" s="9"/>
      <c r="G76" s="9"/>
      <c r="H76" s="8"/>
      <c r="I76" s="20"/>
      <c r="J76" s="20"/>
      <c r="K76" s="20"/>
      <c r="L76" s="6"/>
      <c r="M76" s="5">
        <f t="shared" si="2"/>
        <v>0</v>
      </c>
    </row>
    <row r="77" spans="5:13" x14ac:dyDescent="0.3">
      <c r="E77" s="9"/>
      <c r="F77" s="9"/>
      <c r="G77" s="9"/>
      <c r="H77" s="8"/>
      <c r="I77" s="20"/>
      <c r="J77" s="20"/>
      <c r="K77" s="20"/>
      <c r="L77" s="6"/>
      <c r="M77" s="5"/>
    </row>
    <row r="78" spans="5:13" x14ac:dyDescent="0.3">
      <c r="E78" s="9"/>
      <c r="F78" s="9"/>
      <c r="G78" s="9"/>
      <c r="H78" s="8"/>
      <c r="I78" s="20"/>
      <c r="J78" s="20"/>
      <c r="K78" s="20"/>
      <c r="L78" s="6"/>
      <c r="M78" s="5"/>
    </row>
    <row r="79" spans="5:13" x14ac:dyDescent="0.3">
      <c r="E79" s="9"/>
      <c r="F79" s="9"/>
      <c r="G79" s="9"/>
      <c r="H79" s="8"/>
      <c r="I79" s="20"/>
      <c r="J79" s="20"/>
      <c r="K79" s="20"/>
      <c r="L79" s="6"/>
      <c r="M79" s="5"/>
    </row>
    <row r="80" spans="5:13" x14ac:dyDescent="0.3">
      <c r="E80" s="9"/>
      <c r="F80" s="9"/>
      <c r="G80" s="9"/>
      <c r="H80" s="8"/>
      <c r="I80" s="20"/>
      <c r="J80" s="20"/>
      <c r="K80" s="20"/>
      <c r="L80" s="6"/>
      <c r="M80" s="5"/>
    </row>
    <row r="81" spans="5:13" x14ac:dyDescent="0.3">
      <c r="E81" s="9"/>
      <c r="F81" s="9"/>
      <c r="G81" s="9"/>
      <c r="H81" s="8"/>
      <c r="I81" s="20"/>
      <c r="J81" s="20"/>
      <c r="K81" s="20"/>
      <c r="L81" s="6"/>
      <c r="M81" s="5"/>
    </row>
    <row r="82" spans="5:13" x14ac:dyDescent="0.3">
      <c r="E82" s="9"/>
      <c r="F82" s="9"/>
      <c r="G82" s="9"/>
      <c r="H82" s="8"/>
      <c r="I82" s="20"/>
      <c r="J82" s="20"/>
      <c r="K82" s="20"/>
      <c r="L82" s="6"/>
      <c r="M82" s="5"/>
    </row>
    <row r="83" spans="5:13" x14ac:dyDescent="0.3">
      <c r="E83" s="9"/>
      <c r="F83" s="9"/>
      <c r="G83" s="9"/>
      <c r="H83" s="8"/>
      <c r="I83" s="20"/>
      <c r="J83" s="20"/>
      <c r="K83" s="20"/>
      <c r="L83" s="6"/>
      <c r="M83" s="5"/>
    </row>
    <row r="84" spans="5:13" x14ac:dyDescent="0.3">
      <c r="E84" s="9"/>
      <c r="F84" s="9"/>
      <c r="G84" s="9"/>
      <c r="H84" s="8"/>
      <c r="I84" s="20"/>
      <c r="J84" s="20"/>
      <c r="K84" s="20"/>
      <c r="L84" s="6"/>
      <c r="M84" s="5"/>
    </row>
    <row r="85" spans="5:13" x14ac:dyDescent="0.3">
      <c r="E85" s="9"/>
      <c r="F85" s="9"/>
      <c r="G85" s="9"/>
      <c r="H85" s="8"/>
      <c r="I85" s="20"/>
      <c r="J85" s="20"/>
      <c r="K85" s="20"/>
      <c r="L85" s="6"/>
      <c r="M85" s="5"/>
    </row>
    <row r="86" spans="5:13" x14ac:dyDescent="0.3">
      <c r="E86" s="9"/>
      <c r="F86" s="9"/>
      <c r="G86" s="9"/>
      <c r="H86" s="8"/>
      <c r="I86" s="20"/>
      <c r="J86" s="20"/>
      <c r="K86" s="20"/>
      <c r="L86" s="6"/>
      <c r="M86" s="5"/>
    </row>
    <row r="87" spans="5:13" x14ac:dyDescent="0.3">
      <c r="E87" s="9"/>
      <c r="F87" s="9"/>
      <c r="G87" s="9"/>
      <c r="H87" s="8"/>
      <c r="I87" s="20"/>
      <c r="J87" s="20"/>
      <c r="K87" s="20"/>
      <c r="L87" s="6"/>
      <c r="M87" s="5"/>
    </row>
    <row r="88" spans="5:13" x14ac:dyDescent="0.3">
      <c r="E88" s="9"/>
      <c r="F88" s="9"/>
      <c r="G88" s="9"/>
      <c r="H88" s="8"/>
      <c r="I88" s="20"/>
      <c r="J88" s="20"/>
      <c r="K88" s="20"/>
      <c r="L88" s="6"/>
      <c r="M88" s="5"/>
    </row>
    <row r="89" spans="5:13" x14ac:dyDescent="0.3">
      <c r="E89" s="9"/>
      <c r="F89" s="9"/>
      <c r="G89" s="9"/>
      <c r="H89" s="8"/>
      <c r="I89" s="20"/>
      <c r="J89" s="20"/>
      <c r="K89" s="20"/>
      <c r="L89" s="6"/>
      <c r="M89" s="5"/>
    </row>
    <row r="90" spans="5:13" x14ac:dyDescent="0.3">
      <c r="E90" s="9"/>
      <c r="F90" s="9"/>
      <c r="G90" s="9"/>
      <c r="H90" s="8"/>
      <c r="I90" s="20"/>
      <c r="J90" s="20"/>
      <c r="K90" s="20"/>
      <c r="L90" s="6"/>
      <c r="M90" s="5"/>
    </row>
    <row r="91" spans="5:13" x14ac:dyDescent="0.3">
      <c r="E91" s="9"/>
      <c r="F91" s="9"/>
      <c r="G91" s="9"/>
      <c r="H91" s="8"/>
      <c r="I91" s="20"/>
      <c r="J91" s="20"/>
      <c r="K91" s="20"/>
      <c r="L91" s="6"/>
      <c r="M91" s="5"/>
    </row>
    <row r="92" spans="5:13" x14ac:dyDescent="0.3">
      <c r="E92" s="9"/>
      <c r="F92" s="9"/>
      <c r="G92" s="9"/>
      <c r="H92" s="8"/>
      <c r="I92" s="20"/>
      <c r="J92" s="20"/>
      <c r="K92" s="20"/>
      <c r="L92" s="6"/>
      <c r="M92" s="5"/>
    </row>
    <row r="93" spans="5:13" x14ac:dyDescent="0.3">
      <c r="E93" s="9"/>
      <c r="F93" s="9"/>
      <c r="G93" s="9"/>
      <c r="H93" s="8"/>
      <c r="I93" s="20"/>
      <c r="J93" s="20"/>
      <c r="K93" s="20"/>
      <c r="L93" s="6"/>
      <c r="M93" s="5"/>
    </row>
    <row r="94" spans="5:13" x14ac:dyDescent="0.3">
      <c r="E94" s="9"/>
      <c r="F94" s="9"/>
      <c r="G94" s="9"/>
      <c r="H94" s="8"/>
      <c r="I94" s="20"/>
      <c r="J94" s="20"/>
      <c r="K94" s="20"/>
      <c r="L94" s="6"/>
      <c r="M94" s="5"/>
    </row>
    <row r="95" spans="5:13" x14ac:dyDescent="0.3">
      <c r="E95" s="9"/>
      <c r="F95" s="9"/>
      <c r="G95" s="9"/>
      <c r="H95" s="8"/>
      <c r="I95" s="20"/>
      <c r="J95" s="20"/>
      <c r="K95" s="20"/>
      <c r="L95" s="6"/>
      <c r="M95" s="5"/>
    </row>
    <row r="96" spans="5:13" x14ac:dyDescent="0.3">
      <c r="E96" s="9"/>
      <c r="F96" s="9"/>
      <c r="G96" s="9"/>
      <c r="H96" s="8"/>
      <c r="I96" s="20"/>
      <c r="J96" s="20"/>
      <c r="K96" s="20"/>
      <c r="L96" s="6"/>
      <c r="M96" s="5"/>
    </row>
    <row r="97" spans="5:13" x14ac:dyDescent="0.3">
      <c r="E97" s="9"/>
      <c r="F97" s="9"/>
      <c r="G97" s="9"/>
      <c r="H97" s="8"/>
      <c r="I97" s="20"/>
      <c r="J97" s="20"/>
      <c r="K97" s="20"/>
      <c r="L97" s="6"/>
      <c r="M97" s="5"/>
    </row>
    <row r="98" spans="5:13" x14ac:dyDescent="0.3">
      <c r="H98" s="4"/>
      <c r="L98" s="3"/>
      <c r="M98" s="2"/>
    </row>
    <row r="99" spans="5:13" x14ac:dyDescent="0.3">
      <c r="H99" s="4"/>
      <c r="L99" s="3"/>
      <c r="M99" s="2"/>
    </row>
    <row r="100" spans="5:13" x14ac:dyDescent="0.3">
      <c r="H100" s="4"/>
      <c r="L100" s="3"/>
      <c r="M100" s="2"/>
    </row>
    <row r="101" spans="5:13" x14ac:dyDescent="0.3">
      <c r="H101" s="4"/>
      <c r="L101" s="3"/>
      <c r="M101" s="2"/>
    </row>
    <row r="102" spans="5:13" x14ac:dyDescent="0.3">
      <c r="H102" s="4"/>
      <c r="L102" s="3"/>
      <c r="M102" s="2"/>
    </row>
    <row r="103" spans="5:13" x14ac:dyDescent="0.3">
      <c r="H103" s="4"/>
      <c r="L103" s="3"/>
      <c r="M103" s="2"/>
    </row>
    <row r="104" spans="5:13" x14ac:dyDescent="0.3">
      <c r="H104" s="4"/>
      <c r="L104" s="3"/>
      <c r="M104" s="2"/>
    </row>
    <row r="105" spans="5:13" x14ac:dyDescent="0.3">
      <c r="H105" s="4"/>
      <c r="L105" s="3"/>
      <c r="M105" s="2"/>
    </row>
    <row r="106" spans="5:13" x14ac:dyDescent="0.3">
      <c r="H106" s="4"/>
      <c r="L106" s="3"/>
      <c r="M106" s="2"/>
    </row>
    <row r="107" spans="5:13" x14ac:dyDescent="0.3">
      <c r="H107" s="4"/>
      <c r="L107" s="3"/>
      <c r="M107" s="2"/>
    </row>
    <row r="108" spans="5:13" x14ac:dyDescent="0.3">
      <c r="H108" s="4"/>
      <c r="L108" s="3"/>
      <c r="M108" s="2"/>
    </row>
    <row r="109" spans="5:13" x14ac:dyDescent="0.3">
      <c r="H109" s="4"/>
      <c r="L109" s="3"/>
      <c r="M109" s="2"/>
    </row>
    <row r="110" spans="5:13" x14ac:dyDescent="0.3">
      <c r="H110" s="4"/>
      <c r="L110" s="3"/>
      <c r="M110" s="2"/>
    </row>
    <row r="111" spans="5:13" x14ac:dyDescent="0.3">
      <c r="H111" s="4"/>
      <c r="L111" s="3"/>
      <c r="M111" s="2"/>
    </row>
    <row r="112" spans="5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  <row r="130" spans="8:13" x14ac:dyDescent="0.3">
      <c r="H130" s="4"/>
      <c r="L130" s="3"/>
      <c r="M130" s="2"/>
    </row>
    <row r="131" spans="8:13" x14ac:dyDescent="0.3">
      <c r="H131" s="4"/>
      <c r="L131" s="3"/>
      <c r="M131" s="2"/>
    </row>
    <row r="132" spans="8:13" x14ac:dyDescent="0.3">
      <c r="H132" s="4"/>
      <c r="L132" s="3"/>
      <c r="M132" s="2"/>
    </row>
    <row r="133" spans="8:13" x14ac:dyDescent="0.3">
      <c r="H133" s="4"/>
      <c r="L133" s="3"/>
      <c r="M133" s="2"/>
    </row>
    <row r="134" spans="8:13" x14ac:dyDescent="0.3">
      <c r="H134" s="4"/>
      <c r="L134" s="3"/>
      <c r="M134" s="2"/>
    </row>
    <row r="135" spans="8:13" x14ac:dyDescent="0.3">
      <c r="H135" s="4"/>
      <c r="L135" s="3"/>
      <c r="M135" s="2"/>
    </row>
  </sheetData>
  <autoFilter ref="E1:M1" xr:uid="{0D0BB241-7BB6-49D4-ABD4-6C4D712AAC1D}">
    <sortState xmlns:xlrd2="http://schemas.microsoft.com/office/spreadsheetml/2017/richdata2" ref="E2:M59">
      <sortCondition descending="1" ref="M1"/>
    </sortState>
  </autoFilter>
  <mergeCells count="1">
    <mergeCell ref="A1:B1"/>
  </mergeCells>
  <conditionalFormatting sqref="E1:E1048576">
    <cfRule type="duplicateValues" dxfId="23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CECF-6B24-4FD5-9B31-A188E89CDFDB}">
  <sheetPr>
    <tabColor rgb="FFFF0000"/>
    <pageSetUpPr fitToPage="1"/>
  </sheetPr>
  <dimension ref="A1:L129"/>
  <sheetViews>
    <sheetView zoomScaleNormal="100" workbookViewId="0">
      <selection activeCell="A30" sqref="A30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88671875" bestFit="1" customWidth="1"/>
    <col min="4" max="4" width="6" bestFit="1" customWidth="1"/>
    <col min="5" max="5" width="94.88671875" bestFit="1" customWidth="1"/>
    <col min="6" max="6" width="29.33203125" bestFit="1" customWidth="1"/>
    <col min="7" max="7" width="19.33203125" bestFit="1" customWidth="1"/>
    <col min="8" max="8" width="21.33203125" style="1" bestFit="1" customWidth="1"/>
    <col min="9" max="9" width="23.5546875" style="1" bestFit="1" customWidth="1"/>
    <col min="10" max="10" width="13.44140625" style="1" bestFit="1" customWidth="1"/>
    <col min="11" max="11" width="11.6640625" bestFit="1" customWidth="1"/>
    <col min="12" max="12" width="23.21875" bestFit="1" customWidth="1"/>
  </cols>
  <sheetData>
    <row r="1" spans="1:12" x14ac:dyDescent="0.3">
      <c r="A1" s="55" t="s">
        <v>119</v>
      </c>
      <c r="B1" s="55"/>
      <c r="D1" s="23" t="s">
        <v>118</v>
      </c>
      <c r="E1" s="23" t="s">
        <v>117</v>
      </c>
      <c r="F1" s="23" t="s">
        <v>116</v>
      </c>
      <c r="G1" s="23" t="s">
        <v>115</v>
      </c>
      <c r="H1" s="23" t="s">
        <v>114</v>
      </c>
      <c r="I1" s="23" t="s">
        <v>113</v>
      </c>
      <c r="J1" s="23" t="s">
        <v>112</v>
      </c>
      <c r="K1" s="23" t="s">
        <v>111</v>
      </c>
      <c r="L1" s="23" t="s">
        <v>110</v>
      </c>
    </row>
    <row r="2" spans="1:12" x14ac:dyDescent="0.3">
      <c r="A2" s="15" t="s">
        <v>109</v>
      </c>
      <c r="B2" s="8">
        <v>46241</v>
      </c>
      <c r="D2" s="22">
        <v>31900</v>
      </c>
      <c r="E2" s="9" t="s">
        <v>108</v>
      </c>
      <c r="F2" s="9" t="s">
        <v>12</v>
      </c>
      <c r="G2" s="8">
        <v>46241</v>
      </c>
      <c r="H2" s="7">
        <v>50000</v>
      </c>
      <c r="I2" s="7">
        <v>34825</v>
      </c>
      <c r="J2" s="7">
        <v>15175</v>
      </c>
      <c r="K2" s="6">
        <v>0.30399999999999999</v>
      </c>
      <c r="L2" s="12">
        <f t="shared" ref="L2:L33" si="0">J2/$B$8</f>
        <v>0.22753512362616765</v>
      </c>
    </row>
    <row r="3" spans="1:12" x14ac:dyDescent="0.3">
      <c r="A3" s="15" t="s">
        <v>107</v>
      </c>
      <c r="B3" s="8">
        <v>46248</v>
      </c>
      <c r="D3" s="9">
        <v>32494</v>
      </c>
      <c r="E3" s="9" t="s">
        <v>106</v>
      </c>
      <c r="F3" s="9" t="s">
        <v>2</v>
      </c>
      <c r="G3" s="8">
        <v>46246</v>
      </c>
      <c r="H3" s="7">
        <v>30000</v>
      </c>
      <c r="I3" s="7">
        <v>23444</v>
      </c>
      <c r="J3" s="7">
        <v>6556</v>
      </c>
      <c r="K3" s="6">
        <v>0.219</v>
      </c>
      <c r="L3" s="12">
        <f t="shared" si="0"/>
        <v>9.830117103744021E-2</v>
      </c>
    </row>
    <row r="4" spans="1:12" x14ac:dyDescent="0.3">
      <c r="D4" s="22">
        <v>32119</v>
      </c>
      <c r="E4" s="9" t="s">
        <v>97</v>
      </c>
      <c r="F4" s="9" t="s">
        <v>12</v>
      </c>
      <c r="G4" s="8">
        <v>46241</v>
      </c>
      <c r="H4" s="7">
        <v>26000</v>
      </c>
      <c r="I4" s="7">
        <v>19625</v>
      </c>
      <c r="J4" s="7">
        <v>6375</v>
      </c>
      <c r="K4" s="6">
        <v>0.245</v>
      </c>
      <c r="L4" s="12">
        <f t="shared" si="0"/>
        <v>9.5587243038999598E-2</v>
      </c>
    </row>
    <row r="5" spans="1:12" x14ac:dyDescent="0.3">
      <c r="A5" s="15" t="s">
        <v>105</v>
      </c>
      <c r="B5" s="9">
        <f>SUBTOTAL(3,D2:D1048576)</f>
        <v>90</v>
      </c>
      <c r="D5" s="9">
        <v>32569</v>
      </c>
      <c r="E5" s="9" t="s">
        <v>104</v>
      </c>
      <c r="F5" s="9" t="s">
        <v>12</v>
      </c>
      <c r="G5" s="8">
        <v>46248</v>
      </c>
      <c r="H5" s="7">
        <v>16800</v>
      </c>
      <c r="I5" s="7">
        <v>11103</v>
      </c>
      <c r="J5" s="7">
        <v>5697</v>
      </c>
      <c r="K5" s="6">
        <v>0.33900000000000002</v>
      </c>
      <c r="L5" s="12">
        <f t="shared" si="0"/>
        <v>8.5421258602851879E-2</v>
      </c>
    </row>
    <row r="6" spans="1:12" x14ac:dyDescent="0.3">
      <c r="A6" s="15" t="s">
        <v>103</v>
      </c>
      <c r="B6" s="20">
        <f>SUBTOTAL(9,H2:H167)</f>
        <v>768331</v>
      </c>
      <c r="D6" s="9">
        <v>32462</v>
      </c>
      <c r="E6" s="9" t="s">
        <v>102</v>
      </c>
      <c r="F6" s="9" t="s">
        <v>12</v>
      </c>
      <c r="G6" s="8">
        <v>46241</v>
      </c>
      <c r="H6" s="7">
        <v>22000</v>
      </c>
      <c r="I6" s="7">
        <v>18900</v>
      </c>
      <c r="J6" s="7">
        <v>3100</v>
      </c>
      <c r="K6" s="6">
        <v>0.14099999999999999</v>
      </c>
      <c r="L6" s="12">
        <f t="shared" si="0"/>
        <v>4.648163975229784E-2</v>
      </c>
    </row>
    <row r="7" spans="1:12" x14ac:dyDescent="0.3">
      <c r="A7" s="15" t="s">
        <v>101</v>
      </c>
      <c r="B7" s="20">
        <f>SUBTOTAL(9,I2:I167)</f>
        <v>707161</v>
      </c>
      <c r="D7" s="9">
        <v>32519</v>
      </c>
      <c r="E7" s="9" t="s">
        <v>100</v>
      </c>
      <c r="F7" s="9" t="s">
        <v>12</v>
      </c>
      <c r="G7" s="8">
        <v>46246</v>
      </c>
      <c r="H7" s="7">
        <v>22174</v>
      </c>
      <c r="I7" s="7">
        <v>19400</v>
      </c>
      <c r="J7" s="7">
        <v>2774</v>
      </c>
      <c r="K7" s="6">
        <v>0.125</v>
      </c>
      <c r="L7" s="12">
        <f t="shared" si="0"/>
        <v>4.1593570539636845E-2</v>
      </c>
    </row>
    <row r="8" spans="1:12" x14ac:dyDescent="0.3">
      <c r="A8" s="15" t="s">
        <v>99</v>
      </c>
      <c r="B8" s="20">
        <f>SUBTOTAL(9,J2:J167)</f>
        <v>66693</v>
      </c>
      <c r="D8" s="9">
        <v>32474</v>
      </c>
      <c r="E8" s="9" t="s">
        <v>97</v>
      </c>
      <c r="F8" s="9" t="s">
        <v>12</v>
      </c>
      <c r="G8" s="8">
        <v>46245</v>
      </c>
      <c r="H8" s="7">
        <v>24000</v>
      </c>
      <c r="I8" s="7">
        <v>21725</v>
      </c>
      <c r="J8" s="7">
        <v>2275</v>
      </c>
      <c r="K8" s="6">
        <v>9.5000000000000001E-2</v>
      </c>
      <c r="L8" s="12">
        <f t="shared" si="0"/>
        <v>3.4111525947250837E-2</v>
      </c>
    </row>
    <row r="9" spans="1:12" x14ac:dyDescent="0.3">
      <c r="A9" s="15" t="s">
        <v>98</v>
      </c>
      <c r="B9" s="18">
        <f>B8/B6</f>
        <v>8.6802432805652766E-2</v>
      </c>
      <c r="D9" s="9">
        <v>32475</v>
      </c>
      <c r="E9" s="9" t="s">
        <v>97</v>
      </c>
      <c r="F9" s="9" t="s">
        <v>12</v>
      </c>
      <c r="G9" s="8">
        <v>46244</v>
      </c>
      <c r="H9" s="7">
        <v>24000</v>
      </c>
      <c r="I9" s="7">
        <v>21750</v>
      </c>
      <c r="J9" s="7">
        <v>2250</v>
      </c>
      <c r="K9" s="6">
        <v>9.4E-2</v>
      </c>
      <c r="L9" s="12">
        <f t="shared" si="0"/>
        <v>3.373667401376456E-2</v>
      </c>
    </row>
    <row r="10" spans="1:12" x14ac:dyDescent="0.3">
      <c r="A10" s="15" t="s">
        <v>96</v>
      </c>
      <c r="B10" s="9">
        <f>COUNTIF(K:K,"&gt;=5%")</f>
        <v>30</v>
      </c>
      <c r="D10" s="9">
        <v>32928</v>
      </c>
      <c r="E10" s="9" t="s">
        <v>60</v>
      </c>
      <c r="F10" s="9" t="s">
        <v>12</v>
      </c>
      <c r="G10" s="8">
        <v>46247</v>
      </c>
      <c r="H10" s="7">
        <v>1900</v>
      </c>
      <c r="I10" s="7">
        <v>0</v>
      </c>
      <c r="J10" s="7">
        <v>1900</v>
      </c>
      <c r="K10" s="6">
        <v>1</v>
      </c>
      <c r="L10" s="12">
        <f t="shared" si="0"/>
        <v>2.8488746944956744E-2</v>
      </c>
    </row>
    <row r="11" spans="1:12" x14ac:dyDescent="0.3">
      <c r="A11" s="15" t="s">
        <v>95</v>
      </c>
      <c r="B11" s="14">
        <f>B10/B5</f>
        <v>0.33333333333333331</v>
      </c>
      <c r="D11" s="9">
        <v>32755</v>
      </c>
      <c r="E11" s="9" t="s">
        <v>93</v>
      </c>
      <c r="F11" s="9" t="s">
        <v>2</v>
      </c>
      <c r="G11" s="8">
        <v>46244</v>
      </c>
      <c r="H11" s="7">
        <v>8400</v>
      </c>
      <c r="I11" s="7">
        <v>6850</v>
      </c>
      <c r="J11" s="7">
        <v>1550</v>
      </c>
      <c r="K11" s="6">
        <v>0.185</v>
      </c>
      <c r="L11" s="12">
        <f t="shared" si="0"/>
        <v>2.324081987614892E-2</v>
      </c>
    </row>
    <row r="12" spans="1:12" x14ac:dyDescent="0.3">
      <c r="D12" s="9">
        <v>32825</v>
      </c>
      <c r="E12" s="9" t="s">
        <v>82</v>
      </c>
      <c r="F12" s="9" t="s">
        <v>12</v>
      </c>
      <c r="G12" s="8">
        <v>46246</v>
      </c>
      <c r="H12" s="7">
        <v>17600</v>
      </c>
      <c r="I12" s="7">
        <v>16191</v>
      </c>
      <c r="J12" s="7">
        <v>1409</v>
      </c>
      <c r="K12" s="6">
        <v>0.08</v>
      </c>
      <c r="L12" s="12">
        <f t="shared" si="0"/>
        <v>2.1126654971286341E-2</v>
      </c>
    </row>
    <row r="13" spans="1:12" x14ac:dyDescent="0.3">
      <c r="D13" s="9">
        <v>32808</v>
      </c>
      <c r="E13" s="9" t="s">
        <v>94</v>
      </c>
      <c r="F13" s="9" t="s">
        <v>2</v>
      </c>
      <c r="G13" s="8">
        <v>46247</v>
      </c>
      <c r="H13" s="7">
        <v>22400</v>
      </c>
      <c r="I13" s="7">
        <v>21177</v>
      </c>
      <c r="J13" s="7">
        <v>1223</v>
      </c>
      <c r="K13" s="6">
        <v>5.5E-2</v>
      </c>
      <c r="L13" s="12">
        <f t="shared" si="0"/>
        <v>1.833775658614847E-2</v>
      </c>
    </row>
    <row r="14" spans="1:12" x14ac:dyDescent="0.3">
      <c r="A14" s="11" t="s">
        <v>92</v>
      </c>
      <c r="B14" s="13">
        <f>B8-'[1]10-08'!B8</f>
        <v>474</v>
      </c>
      <c r="D14" s="9">
        <v>32753</v>
      </c>
      <c r="E14" s="9" t="s">
        <v>93</v>
      </c>
      <c r="F14" s="9" t="s">
        <v>2</v>
      </c>
      <c r="G14" s="8">
        <v>46244</v>
      </c>
      <c r="H14" s="7">
        <v>9800</v>
      </c>
      <c r="I14" s="7">
        <v>8770</v>
      </c>
      <c r="J14" s="7">
        <v>1030</v>
      </c>
      <c r="K14" s="6">
        <v>0.105</v>
      </c>
      <c r="L14" s="12">
        <f t="shared" si="0"/>
        <v>1.5443899659634445E-2</v>
      </c>
    </row>
    <row r="15" spans="1:12" x14ac:dyDescent="0.3">
      <c r="A15" s="11" t="s">
        <v>92</v>
      </c>
      <c r="B15" s="10">
        <f>B9-'[1]10-08'!B9</f>
        <v>3.8871048832252175E-3</v>
      </c>
      <c r="D15" s="9">
        <v>32734</v>
      </c>
      <c r="E15" s="9" t="s">
        <v>88</v>
      </c>
      <c r="F15" s="9" t="s">
        <v>12</v>
      </c>
      <c r="G15" s="8">
        <v>46247</v>
      </c>
      <c r="H15" s="7">
        <v>14000</v>
      </c>
      <c r="I15" s="7">
        <v>13200</v>
      </c>
      <c r="J15" s="7">
        <v>800</v>
      </c>
      <c r="K15" s="6">
        <v>5.7000000000000002E-2</v>
      </c>
      <c r="L15" s="5">
        <f t="shared" si="0"/>
        <v>1.1995261871560733E-2</v>
      </c>
    </row>
    <row r="16" spans="1:12" x14ac:dyDescent="0.3">
      <c r="D16" s="9">
        <v>32870</v>
      </c>
      <c r="E16" s="9" t="s">
        <v>91</v>
      </c>
      <c r="F16" s="9" t="s">
        <v>30</v>
      </c>
      <c r="G16" s="8">
        <v>46245</v>
      </c>
      <c r="H16" s="7">
        <v>5700</v>
      </c>
      <c r="I16" s="7">
        <v>4978</v>
      </c>
      <c r="J16" s="7">
        <v>722</v>
      </c>
      <c r="K16" s="6">
        <v>0.127</v>
      </c>
      <c r="L16" s="5">
        <f t="shared" si="0"/>
        <v>1.0825723839083562E-2</v>
      </c>
    </row>
    <row r="17" spans="4:12" x14ac:dyDescent="0.3">
      <c r="D17" s="9">
        <v>32197</v>
      </c>
      <c r="E17" s="9" t="s">
        <v>90</v>
      </c>
      <c r="F17" s="9" t="s">
        <v>12</v>
      </c>
      <c r="G17" s="8">
        <v>46245</v>
      </c>
      <c r="H17" s="7">
        <v>6600</v>
      </c>
      <c r="I17" s="7">
        <v>5880</v>
      </c>
      <c r="J17" s="7">
        <v>720</v>
      </c>
      <c r="K17" s="6">
        <v>0.109</v>
      </c>
      <c r="L17" s="5">
        <f t="shared" si="0"/>
        <v>1.079573568440466E-2</v>
      </c>
    </row>
    <row r="18" spans="4:12" x14ac:dyDescent="0.3">
      <c r="D18" s="9">
        <v>32865</v>
      </c>
      <c r="E18" s="9" t="s">
        <v>89</v>
      </c>
      <c r="F18" s="9" t="s">
        <v>30</v>
      </c>
      <c r="G18" s="8">
        <v>46248</v>
      </c>
      <c r="H18" s="7">
        <v>15200</v>
      </c>
      <c r="I18" s="7">
        <v>14487</v>
      </c>
      <c r="J18" s="7">
        <v>713</v>
      </c>
      <c r="K18" s="6">
        <v>4.7E-2</v>
      </c>
      <c r="L18" s="5">
        <f t="shared" si="0"/>
        <v>1.0690777143028504E-2</v>
      </c>
    </row>
    <row r="19" spans="4:12" x14ac:dyDescent="0.3">
      <c r="D19" s="9">
        <v>32732</v>
      </c>
      <c r="E19" s="9" t="s">
        <v>88</v>
      </c>
      <c r="F19" s="9" t="s">
        <v>12</v>
      </c>
      <c r="G19" s="8">
        <v>46248</v>
      </c>
      <c r="H19" s="7">
        <v>18000</v>
      </c>
      <c r="I19" s="7">
        <v>17350</v>
      </c>
      <c r="J19" s="7">
        <v>650</v>
      </c>
      <c r="K19" s="6">
        <v>3.5999999999999997E-2</v>
      </c>
      <c r="L19" s="5">
        <f t="shared" si="0"/>
        <v>9.7461502706430968E-3</v>
      </c>
    </row>
    <row r="20" spans="4:12" x14ac:dyDescent="0.3">
      <c r="D20" s="9">
        <v>32810</v>
      </c>
      <c r="E20" s="9" t="s">
        <v>87</v>
      </c>
      <c r="F20" s="9" t="s">
        <v>22</v>
      </c>
      <c r="G20" s="8">
        <v>46246</v>
      </c>
      <c r="H20" s="7">
        <v>1900</v>
      </c>
      <c r="I20" s="7">
        <v>1281</v>
      </c>
      <c r="J20" s="7">
        <v>619</v>
      </c>
      <c r="K20" s="6">
        <v>0.32600000000000001</v>
      </c>
      <c r="L20" s="5">
        <f t="shared" si="0"/>
        <v>9.2813338731201171E-3</v>
      </c>
    </row>
    <row r="21" spans="4:12" x14ac:dyDescent="0.3">
      <c r="D21" s="9">
        <v>32907</v>
      </c>
      <c r="E21" s="9" t="s">
        <v>86</v>
      </c>
      <c r="F21" s="9" t="s">
        <v>14</v>
      </c>
      <c r="G21" s="8">
        <v>46248</v>
      </c>
      <c r="H21" s="7">
        <v>13300</v>
      </c>
      <c r="I21" s="7">
        <v>12689</v>
      </c>
      <c r="J21" s="7">
        <v>611</v>
      </c>
      <c r="K21" s="6">
        <v>4.5999999999999999E-2</v>
      </c>
      <c r="L21" s="5">
        <f t="shared" si="0"/>
        <v>9.161381254404511E-3</v>
      </c>
    </row>
    <row r="22" spans="4:12" x14ac:dyDescent="0.3">
      <c r="D22" s="9">
        <v>32874</v>
      </c>
      <c r="E22" s="9" t="s">
        <v>85</v>
      </c>
      <c r="F22" s="9" t="s">
        <v>14</v>
      </c>
      <c r="G22" s="8">
        <v>46247</v>
      </c>
      <c r="H22" s="7">
        <v>9500</v>
      </c>
      <c r="I22" s="7">
        <v>8905</v>
      </c>
      <c r="J22" s="7">
        <v>595</v>
      </c>
      <c r="K22" s="6">
        <v>6.3E-2</v>
      </c>
      <c r="L22" s="5">
        <f t="shared" si="0"/>
        <v>8.9214760169732954E-3</v>
      </c>
    </row>
    <row r="23" spans="4:12" x14ac:dyDescent="0.3">
      <c r="D23" s="9">
        <v>32906</v>
      </c>
      <c r="E23" s="9" t="s">
        <v>81</v>
      </c>
      <c r="F23" s="9" t="s">
        <v>14</v>
      </c>
      <c r="G23" s="8">
        <v>46248</v>
      </c>
      <c r="H23" s="7">
        <v>9500</v>
      </c>
      <c r="I23" s="7">
        <v>8915</v>
      </c>
      <c r="J23" s="7">
        <v>585</v>
      </c>
      <c r="K23" s="6">
        <v>6.2E-2</v>
      </c>
      <c r="L23" s="5">
        <f t="shared" si="0"/>
        <v>8.7715352435787861E-3</v>
      </c>
    </row>
    <row r="24" spans="4:12" x14ac:dyDescent="0.3">
      <c r="D24" s="9">
        <v>32735</v>
      </c>
      <c r="E24" s="9" t="s">
        <v>84</v>
      </c>
      <c r="F24" s="9" t="s">
        <v>83</v>
      </c>
      <c r="G24" s="8">
        <v>46248</v>
      </c>
      <c r="H24" s="7">
        <v>6600</v>
      </c>
      <c r="I24" s="7">
        <v>6022</v>
      </c>
      <c r="J24" s="7">
        <v>578</v>
      </c>
      <c r="K24" s="6">
        <v>8.7999999999999995E-2</v>
      </c>
      <c r="L24" s="5">
        <f t="shared" si="0"/>
        <v>8.6665767022026299E-3</v>
      </c>
    </row>
    <row r="25" spans="4:12" x14ac:dyDescent="0.3">
      <c r="D25" s="9">
        <v>32823</v>
      </c>
      <c r="E25" s="9" t="s">
        <v>82</v>
      </c>
      <c r="F25" s="9" t="s">
        <v>12</v>
      </c>
      <c r="G25" s="8">
        <v>46247</v>
      </c>
      <c r="H25" s="7">
        <v>16000</v>
      </c>
      <c r="I25" s="7">
        <v>15480</v>
      </c>
      <c r="J25" s="7">
        <v>520</v>
      </c>
      <c r="K25" s="6">
        <v>3.3000000000000002E-2</v>
      </c>
      <c r="L25" s="5">
        <f t="shared" si="0"/>
        <v>7.7969202165144771E-3</v>
      </c>
    </row>
    <row r="26" spans="4:12" x14ac:dyDescent="0.3">
      <c r="D26" s="9">
        <v>32899</v>
      </c>
      <c r="E26" s="9" t="s">
        <v>81</v>
      </c>
      <c r="F26" s="9" t="s">
        <v>14</v>
      </c>
      <c r="G26" s="8">
        <v>46248</v>
      </c>
      <c r="H26" s="7">
        <v>11400</v>
      </c>
      <c r="I26" s="7">
        <v>10910</v>
      </c>
      <c r="J26" s="7">
        <v>490</v>
      </c>
      <c r="K26" s="6">
        <v>4.2999999999999997E-2</v>
      </c>
      <c r="L26" s="5">
        <f t="shared" si="0"/>
        <v>7.347097896330949E-3</v>
      </c>
    </row>
    <row r="27" spans="4:12" x14ac:dyDescent="0.3">
      <c r="D27" s="9">
        <v>32891</v>
      </c>
      <c r="E27" s="9" t="s">
        <v>80</v>
      </c>
      <c r="F27" s="9" t="s">
        <v>79</v>
      </c>
      <c r="G27" s="8">
        <v>46246</v>
      </c>
      <c r="H27" s="7">
        <v>10500</v>
      </c>
      <c r="I27" s="7">
        <v>10028</v>
      </c>
      <c r="J27" s="7">
        <v>472</v>
      </c>
      <c r="K27" s="6">
        <v>4.4999999999999998E-2</v>
      </c>
      <c r="L27" s="5">
        <f t="shared" si="0"/>
        <v>7.0772045042208328E-3</v>
      </c>
    </row>
    <row r="28" spans="4:12" x14ac:dyDescent="0.3">
      <c r="D28" s="9">
        <v>32936</v>
      </c>
      <c r="E28" s="9" t="s">
        <v>78</v>
      </c>
      <c r="F28" s="9" t="s">
        <v>30</v>
      </c>
      <c r="G28" s="8">
        <v>46248</v>
      </c>
      <c r="H28" s="7">
        <v>5400</v>
      </c>
      <c r="I28" s="7">
        <v>4936</v>
      </c>
      <c r="J28" s="7">
        <v>464</v>
      </c>
      <c r="K28" s="6">
        <v>8.5999999999999993E-2</v>
      </c>
      <c r="L28" s="5">
        <f t="shared" si="0"/>
        <v>6.9572518855052258E-3</v>
      </c>
    </row>
    <row r="29" spans="4:12" x14ac:dyDescent="0.3">
      <c r="D29" s="9">
        <v>32900</v>
      </c>
      <c r="E29" s="9" t="s">
        <v>77</v>
      </c>
      <c r="F29" s="9" t="s">
        <v>14</v>
      </c>
      <c r="G29" s="8">
        <v>46247</v>
      </c>
      <c r="H29" s="7">
        <v>13300</v>
      </c>
      <c r="I29" s="7">
        <v>12852</v>
      </c>
      <c r="J29" s="7">
        <v>448</v>
      </c>
      <c r="K29" s="6">
        <v>3.4000000000000002E-2</v>
      </c>
      <c r="L29" s="5">
        <f t="shared" si="0"/>
        <v>6.717346648074011E-3</v>
      </c>
    </row>
    <row r="30" spans="4:12" x14ac:dyDescent="0.3">
      <c r="D30" s="9">
        <v>32908</v>
      </c>
      <c r="E30" s="9" t="s">
        <v>70</v>
      </c>
      <c r="F30" s="9" t="s">
        <v>14</v>
      </c>
      <c r="G30" s="8">
        <v>46247</v>
      </c>
      <c r="H30" s="7">
        <v>17100</v>
      </c>
      <c r="I30" s="7">
        <v>16667</v>
      </c>
      <c r="J30" s="7">
        <v>433</v>
      </c>
      <c r="K30" s="6">
        <v>2.5000000000000001E-2</v>
      </c>
      <c r="L30" s="5">
        <f t="shared" si="0"/>
        <v>6.492435487982247E-3</v>
      </c>
    </row>
    <row r="31" spans="4:12" x14ac:dyDescent="0.3">
      <c r="D31" s="9">
        <v>32890</v>
      </c>
      <c r="E31" s="9" t="s">
        <v>76</v>
      </c>
      <c r="F31" s="9" t="s">
        <v>30</v>
      </c>
      <c r="G31" s="8">
        <v>46246</v>
      </c>
      <c r="H31" s="7">
        <v>2200</v>
      </c>
      <c r="I31" s="7">
        <v>1794</v>
      </c>
      <c r="J31" s="7">
        <v>406</v>
      </c>
      <c r="K31" s="6">
        <v>0.185</v>
      </c>
      <c r="L31" s="5">
        <f t="shared" si="0"/>
        <v>6.0875953998170721E-3</v>
      </c>
    </row>
    <row r="32" spans="4:12" x14ac:dyDescent="0.3">
      <c r="D32" s="9">
        <v>32898</v>
      </c>
      <c r="E32" s="9" t="s">
        <v>70</v>
      </c>
      <c r="F32" s="9" t="s">
        <v>14</v>
      </c>
      <c r="G32" s="8">
        <v>46246</v>
      </c>
      <c r="H32" s="7">
        <v>17100</v>
      </c>
      <c r="I32" s="7">
        <v>16710</v>
      </c>
      <c r="J32" s="7">
        <v>390</v>
      </c>
      <c r="K32" s="6">
        <v>2.3E-2</v>
      </c>
      <c r="L32" s="5">
        <f t="shared" si="0"/>
        <v>5.8476901623858574E-3</v>
      </c>
    </row>
    <row r="33" spans="4:12" x14ac:dyDescent="0.3">
      <c r="D33" s="9">
        <v>32919</v>
      </c>
      <c r="E33" s="9" t="s">
        <v>75</v>
      </c>
      <c r="F33" s="9" t="s">
        <v>14</v>
      </c>
      <c r="G33" s="8">
        <v>46248</v>
      </c>
      <c r="H33" s="7">
        <v>17100</v>
      </c>
      <c r="I33" s="7">
        <v>16809</v>
      </c>
      <c r="J33" s="7">
        <v>291</v>
      </c>
      <c r="K33" s="6">
        <v>1.7000000000000001E-2</v>
      </c>
      <c r="L33" s="5">
        <f t="shared" si="0"/>
        <v>4.3632765057802165E-3</v>
      </c>
    </row>
    <row r="34" spans="4:12" x14ac:dyDescent="0.3">
      <c r="D34" s="9">
        <v>32875</v>
      </c>
      <c r="E34" s="9" t="s">
        <v>74</v>
      </c>
      <c r="F34" s="9" t="s">
        <v>14</v>
      </c>
      <c r="G34" s="8">
        <v>46247</v>
      </c>
      <c r="H34" s="7">
        <v>9500</v>
      </c>
      <c r="I34" s="7">
        <v>9222</v>
      </c>
      <c r="J34" s="7">
        <v>278</v>
      </c>
      <c r="K34" s="6">
        <v>2.9000000000000001E-2</v>
      </c>
      <c r="L34" s="5">
        <f t="shared" ref="L34:L65" si="1">J34/$B$8</f>
        <v>4.1683535003673548E-3</v>
      </c>
    </row>
    <row r="35" spans="4:12" x14ac:dyDescent="0.3">
      <c r="D35" s="9">
        <v>32866</v>
      </c>
      <c r="E35" s="9" t="s">
        <v>73</v>
      </c>
      <c r="F35" s="9" t="s">
        <v>30</v>
      </c>
      <c r="G35" s="8">
        <v>46245</v>
      </c>
      <c r="H35" s="7">
        <v>5700</v>
      </c>
      <c r="I35" s="7">
        <v>5430</v>
      </c>
      <c r="J35" s="7">
        <v>270</v>
      </c>
      <c r="K35" s="6">
        <v>4.7E-2</v>
      </c>
      <c r="L35" s="5">
        <f t="shared" si="1"/>
        <v>4.0484008816517479E-3</v>
      </c>
    </row>
    <row r="36" spans="4:12" x14ac:dyDescent="0.3">
      <c r="D36" s="9">
        <v>32856</v>
      </c>
      <c r="E36" s="9" t="s">
        <v>72</v>
      </c>
      <c r="F36" s="9" t="s">
        <v>71</v>
      </c>
      <c r="G36" s="8">
        <v>46244</v>
      </c>
      <c r="H36" s="7">
        <v>4500</v>
      </c>
      <c r="I36" s="7">
        <v>4253</v>
      </c>
      <c r="J36" s="7">
        <v>247</v>
      </c>
      <c r="K36" s="6">
        <v>5.5E-2</v>
      </c>
      <c r="L36" s="5">
        <f t="shared" si="1"/>
        <v>3.7035371028443765E-3</v>
      </c>
    </row>
    <row r="37" spans="4:12" x14ac:dyDescent="0.3">
      <c r="D37" s="9">
        <v>32897</v>
      </c>
      <c r="E37" s="9" t="s">
        <v>70</v>
      </c>
      <c r="F37" s="9" t="s">
        <v>14</v>
      </c>
      <c r="G37" s="8">
        <v>46246</v>
      </c>
      <c r="H37" s="7">
        <v>9500</v>
      </c>
      <c r="I37" s="7">
        <v>9274</v>
      </c>
      <c r="J37" s="7">
        <v>226</v>
      </c>
      <c r="K37" s="6">
        <v>2.4E-2</v>
      </c>
      <c r="L37" s="5">
        <f t="shared" si="1"/>
        <v>3.388661478715907E-3</v>
      </c>
    </row>
    <row r="38" spans="4:12" x14ac:dyDescent="0.3">
      <c r="D38" s="9">
        <v>32905</v>
      </c>
      <c r="E38" s="9" t="s">
        <v>69</v>
      </c>
      <c r="F38" s="9" t="s">
        <v>30</v>
      </c>
      <c r="G38" s="8">
        <v>46248</v>
      </c>
      <c r="H38" s="7">
        <v>7600</v>
      </c>
      <c r="I38" s="7">
        <v>7374</v>
      </c>
      <c r="J38" s="7">
        <v>226</v>
      </c>
      <c r="K38" s="6">
        <v>0.03</v>
      </c>
      <c r="L38" s="5">
        <f t="shared" si="1"/>
        <v>3.388661478715907E-3</v>
      </c>
    </row>
    <row r="39" spans="4:12" x14ac:dyDescent="0.3">
      <c r="D39" s="9">
        <v>32868</v>
      </c>
      <c r="E39" s="9" t="s">
        <v>68</v>
      </c>
      <c r="F39" s="9" t="s">
        <v>30</v>
      </c>
      <c r="G39" s="8">
        <v>46245</v>
      </c>
      <c r="H39" s="7">
        <v>9500</v>
      </c>
      <c r="I39" s="7">
        <v>9286</v>
      </c>
      <c r="J39" s="7">
        <v>214</v>
      </c>
      <c r="K39" s="6">
        <v>2.3E-2</v>
      </c>
      <c r="L39" s="5">
        <f t="shared" si="1"/>
        <v>3.2087325506424962E-3</v>
      </c>
    </row>
    <row r="40" spans="4:12" x14ac:dyDescent="0.3">
      <c r="D40" s="9">
        <v>32809</v>
      </c>
      <c r="E40" s="9" t="s">
        <v>67</v>
      </c>
      <c r="F40" s="9" t="s">
        <v>22</v>
      </c>
      <c r="G40" s="8">
        <v>46246</v>
      </c>
      <c r="H40" s="7">
        <v>2200</v>
      </c>
      <c r="I40" s="7">
        <v>1987</v>
      </c>
      <c r="J40" s="7">
        <v>213</v>
      </c>
      <c r="K40" s="6">
        <v>9.7000000000000003E-2</v>
      </c>
      <c r="L40" s="5">
        <f t="shared" si="1"/>
        <v>3.1937384733030454E-3</v>
      </c>
    </row>
    <row r="41" spans="4:12" x14ac:dyDescent="0.3">
      <c r="D41" s="9">
        <v>32817</v>
      </c>
      <c r="E41" s="9" t="s">
        <v>66</v>
      </c>
      <c r="F41" s="9" t="s">
        <v>45</v>
      </c>
      <c r="G41" s="8">
        <v>46248</v>
      </c>
      <c r="H41" s="7">
        <v>1600</v>
      </c>
      <c r="I41" s="7">
        <v>1388</v>
      </c>
      <c r="J41" s="7">
        <v>212</v>
      </c>
      <c r="K41" s="6">
        <v>0.13300000000000001</v>
      </c>
      <c r="L41" s="5">
        <f t="shared" si="1"/>
        <v>3.1787443959635942E-3</v>
      </c>
    </row>
    <row r="42" spans="4:12" x14ac:dyDescent="0.3">
      <c r="D42" s="9">
        <v>32814</v>
      </c>
      <c r="E42" s="9" t="s">
        <v>65</v>
      </c>
      <c r="F42" s="9" t="s">
        <v>64</v>
      </c>
      <c r="G42" s="8">
        <v>46241</v>
      </c>
      <c r="H42" s="7">
        <v>5400</v>
      </c>
      <c r="I42" s="7">
        <v>5190</v>
      </c>
      <c r="J42" s="7">
        <v>210</v>
      </c>
      <c r="K42" s="6">
        <v>3.9E-2</v>
      </c>
      <c r="L42" s="5">
        <f t="shared" si="1"/>
        <v>3.1487562412846927E-3</v>
      </c>
    </row>
    <row r="43" spans="4:12" x14ac:dyDescent="0.3">
      <c r="D43" s="9">
        <v>32873</v>
      </c>
      <c r="E43" s="9" t="s">
        <v>63</v>
      </c>
      <c r="F43" s="9" t="s">
        <v>14</v>
      </c>
      <c r="G43" s="8">
        <v>46247</v>
      </c>
      <c r="H43" s="7">
        <v>1900</v>
      </c>
      <c r="I43" s="7">
        <v>1692</v>
      </c>
      <c r="J43" s="7">
        <v>208</v>
      </c>
      <c r="K43" s="6">
        <v>0.109</v>
      </c>
      <c r="L43" s="5">
        <f t="shared" si="1"/>
        <v>3.1187680866057907E-3</v>
      </c>
    </row>
    <row r="44" spans="4:12" x14ac:dyDescent="0.3">
      <c r="D44" s="9">
        <v>32888</v>
      </c>
      <c r="E44" s="9" t="s">
        <v>57</v>
      </c>
      <c r="F44" s="9" t="s">
        <v>53</v>
      </c>
      <c r="G44" s="8">
        <v>46245</v>
      </c>
      <c r="H44" s="7">
        <v>7200</v>
      </c>
      <c r="I44" s="7">
        <v>7007</v>
      </c>
      <c r="J44" s="7">
        <v>193</v>
      </c>
      <c r="K44" s="6">
        <v>2.7E-2</v>
      </c>
      <c r="L44" s="5">
        <f t="shared" si="1"/>
        <v>2.8938569265140272E-3</v>
      </c>
    </row>
    <row r="45" spans="4:12" x14ac:dyDescent="0.3">
      <c r="D45" s="9">
        <v>32857</v>
      </c>
      <c r="E45" s="9" t="s">
        <v>62</v>
      </c>
      <c r="F45" s="9" t="s">
        <v>61</v>
      </c>
      <c r="G45" s="8">
        <v>46241</v>
      </c>
      <c r="H45" s="7">
        <v>7600</v>
      </c>
      <c r="I45" s="7">
        <v>7418</v>
      </c>
      <c r="J45" s="7">
        <v>182</v>
      </c>
      <c r="K45" s="6">
        <v>2.4E-2</v>
      </c>
      <c r="L45" s="5">
        <f t="shared" si="1"/>
        <v>2.7289220757800671E-3</v>
      </c>
    </row>
    <row r="46" spans="4:12" x14ac:dyDescent="0.3">
      <c r="D46" s="9">
        <v>32924</v>
      </c>
      <c r="E46" s="9" t="s">
        <v>60</v>
      </c>
      <c r="F46" s="9" t="s">
        <v>59</v>
      </c>
      <c r="G46" s="8">
        <v>46248</v>
      </c>
      <c r="H46" s="7">
        <v>7600</v>
      </c>
      <c r="I46" s="7">
        <v>7425</v>
      </c>
      <c r="J46" s="7">
        <v>175</v>
      </c>
      <c r="K46" s="6">
        <v>2.3E-2</v>
      </c>
      <c r="L46" s="5">
        <f t="shared" si="1"/>
        <v>2.6239635344039104E-3</v>
      </c>
    </row>
    <row r="47" spans="4:12" x14ac:dyDescent="0.3">
      <c r="D47" s="9">
        <v>32867</v>
      </c>
      <c r="E47" s="9" t="s">
        <v>58</v>
      </c>
      <c r="F47" s="9" t="s">
        <v>30</v>
      </c>
      <c r="G47" s="8">
        <v>46245</v>
      </c>
      <c r="H47" s="7">
        <v>5700</v>
      </c>
      <c r="I47" s="7">
        <v>5526</v>
      </c>
      <c r="J47" s="7">
        <v>174</v>
      </c>
      <c r="K47" s="6">
        <v>3.1E-2</v>
      </c>
      <c r="L47" s="5">
        <f t="shared" si="1"/>
        <v>2.6089694570644597E-3</v>
      </c>
    </row>
    <row r="48" spans="4:12" x14ac:dyDescent="0.3">
      <c r="D48" s="9">
        <v>32896</v>
      </c>
      <c r="E48" s="9" t="s">
        <v>57</v>
      </c>
      <c r="F48" s="9" t="s">
        <v>53</v>
      </c>
      <c r="G48" s="8">
        <v>46245</v>
      </c>
      <c r="H48" s="7">
        <v>3040</v>
      </c>
      <c r="I48" s="7">
        <v>2870</v>
      </c>
      <c r="J48" s="7">
        <v>170</v>
      </c>
      <c r="K48" s="6">
        <v>5.6000000000000001E-2</v>
      </c>
      <c r="L48" s="5">
        <f t="shared" si="1"/>
        <v>2.5489931477066558E-3</v>
      </c>
    </row>
    <row r="49" spans="4:12" x14ac:dyDescent="0.3">
      <c r="D49" s="9">
        <v>32871</v>
      </c>
      <c r="E49" s="9" t="s">
        <v>56</v>
      </c>
      <c r="F49" s="9" t="s">
        <v>14</v>
      </c>
      <c r="G49" s="8">
        <v>46246</v>
      </c>
      <c r="H49" s="7">
        <v>1900</v>
      </c>
      <c r="I49" s="7">
        <v>1735</v>
      </c>
      <c r="J49" s="7">
        <v>165</v>
      </c>
      <c r="K49" s="6">
        <v>8.6999999999999994E-2</v>
      </c>
      <c r="L49" s="5">
        <f t="shared" si="1"/>
        <v>2.4740227610094011E-3</v>
      </c>
    </row>
    <row r="50" spans="4:12" x14ac:dyDescent="0.3">
      <c r="D50" s="9">
        <v>32816</v>
      </c>
      <c r="E50" s="9" t="s">
        <v>55</v>
      </c>
      <c r="F50" s="9" t="s">
        <v>45</v>
      </c>
      <c r="G50" s="8">
        <v>46247</v>
      </c>
      <c r="H50" s="7">
        <v>2800</v>
      </c>
      <c r="I50" s="7">
        <v>2648</v>
      </c>
      <c r="J50" s="7">
        <v>152</v>
      </c>
      <c r="K50" s="6">
        <v>5.3999999999999999E-2</v>
      </c>
      <c r="L50" s="5">
        <f t="shared" si="1"/>
        <v>2.2790997555965395E-3</v>
      </c>
    </row>
    <row r="51" spans="4:12" x14ac:dyDescent="0.3">
      <c r="D51" s="9">
        <v>32887</v>
      </c>
      <c r="E51" s="9" t="s">
        <v>54</v>
      </c>
      <c r="F51" s="9" t="s">
        <v>53</v>
      </c>
      <c r="G51" s="8">
        <v>46245</v>
      </c>
      <c r="H51" s="7">
        <v>6000</v>
      </c>
      <c r="I51" s="7">
        <v>5871</v>
      </c>
      <c r="J51" s="7">
        <v>129</v>
      </c>
      <c r="K51" s="6">
        <v>2.1999999999999999E-2</v>
      </c>
      <c r="L51" s="5">
        <f t="shared" si="1"/>
        <v>1.9342359767891683E-3</v>
      </c>
    </row>
    <row r="52" spans="4:12" x14ac:dyDescent="0.3">
      <c r="D52" s="9">
        <v>32812</v>
      </c>
      <c r="E52" s="9" t="s">
        <v>52</v>
      </c>
      <c r="F52" s="9" t="s">
        <v>22</v>
      </c>
      <c r="G52" s="8">
        <v>46246</v>
      </c>
      <c r="H52" s="7">
        <v>4000</v>
      </c>
      <c r="I52" s="7">
        <v>3887</v>
      </c>
      <c r="J52" s="7">
        <v>113</v>
      </c>
      <c r="K52" s="6">
        <v>2.8000000000000001E-2</v>
      </c>
      <c r="L52" s="5">
        <f t="shared" si="1"/>
        <v>1.6943307393579535E-3</v>
      </c>
    </row>
    <row r="53" spans="4:12" x14ac:dyDescent="0.3">
      <c r="D53" s="9">
        <v>32819</v>
      </c>
      <c r="E53" s="9" t="s">
        <v>51</v>
      </c>
      <c r="F53" s="9" t="s">
        <v>50</v>
      </c>
      <c r="G53" s="8">
        <v>46247</v>
      </c>
      <c r="H53" s="7">
        <v>3600</v>
      </c>
      <c r="I53" s="7">
        <v>3487</v>
      </c>
      <c r="J53" s="7">
        <v>113</v>
      </c>
      <c r="K53" s="6">
        <v>3.1E-2</v>
      </c>
      <c r="L53" s="5">
        <f t="shared" si="1"/>
        <v>1.6943307393579535E-3</v>
      </c>
    </row>
    <row r="54" spans="4:12" x14ac:dyDescent="0.3">
      <c r="D54" s="9">
        <v>32872</v>
      </c>
      <c r="E54" s="9" t="s">
        <v>49</v>
      </c>
      <c r="F54" s="9" t="s">
        <v>14</v>
      </c>
      <c r="G54" s="8">
        <v>46247</v>
      </c>
      <c r="H54" s="7">
        <v>1900</v>
      </c>
      <c r="I54" s="7">
        <v>1790</v>
      </c>
      <c r="J54" s="7">
        <v>110</v>
      </c>
      <c r="K54" s="6">
        <v>5.8000000000000003E-2</v>
      </c>
      <c r="L54" s="5">
        <f t="shared" si="1"/>
        <v>1.6493485073396008E-3</v>
      </c>
    </row>
    <row r="55" spans="4:12" x14ac:dyDescent="0.3">
      <c r="D55" s="9">
        <v>32869</v>
      </c>
      <c r="E55" s="9" t="s">
        <v>48</v>
      </c>
      <c r="F55" s="9" t="s">
        <v>30</v>
      </c>
      <c r="G55" s="8">
        <v>46245</v>
      </c>
      <c r="H55" s="7">
        <v>3800</v>
      </c>
      <c r="I55" s="7">
        <v>3697</v>
      </c>
      <c r="J55" s="7">
        <v>103</v>
      </c>
      <c r="K55" s="6">
        <v>2.7E-2</v>
      </c>
      <c r="L55" s="5">
        <f t="shared" si="1"/>
        <v>1.5443899659634444E-3</v>
      </c>
    </row>
    <row r="56" spans="4:12" x14ac:dyDescent="0.3">
      <c r="D56" s="9">
        <v>32902</v>
      </c>
      <c r="E56" s="9" t="s">
        <v>47</v>
      </c>
      <c r="F56" s="9" t="s">
        <v>30</v>
      </c>
      <c r="G56" s="8">
        <v>46247</v>
      </c>
      <c r="H56" s="7">
        <v>5700</v>
      </c>
      <c r="I56" s="7">
        <v>5597</v>
      </c>
      <c r="J56" s="7">
        <v>103</v>
      </c>
      <c r="K56" s="6">
        <v>1.7999999999999999E-2</v>
      </c>
      <c r="L56" s="5">
        <f t="shared" si="1"/>
        <v>1.5443899659634444E-3</v>
      </c>
    </row>
    <row r="57" spans="4:12" x14ac:dyDescent="0.3">
      <c r="D57" s="9">
        <v>32813</v>
      </c>
      <c r="E57" s="9" t="s">
        <v>46</v>
      </c>
      <c r="F57" s="9" t="s">
        <v>45</v>
      </c>
      <c r="G57" s="8">
        <v>46241</v>
      </c>
      <c r="H57" s="7">
        <v>2100</v>
      </c>
      <c r="I57" s="7">
        <v>2013</v>
      </c>
      <c r="J57" s="7">
        <v>87</v>
      </c>
      <c r="K57" s="6">
        <v>4.1000000000000002E-2</v>
      </c>
      <c r="L57" s="5">
        <f t="shared" si="1"/>
        <v>1.3044847285322298E-3</v>
      </c>
    </row>
    <row r="58" spans="4:12" x14ac:dyDescent="0.3">
      <c r="D58" s="9">
        <v>32915</v>
      </c>
      <c r="E58" s="9" t="s">
        <v>44</v>
      </c>
      <c r="F58" s="9" t="s">
        <v>36</v>
      </c>
      <c r="G58" s="8">
        <v>46248</v>
      </c>
      <c r="H58" s="7">
        <v>3800</v>
      </c>
      <c r="I58" s="7">
        <v>3717</v>
      </c>
      <c r="J58" s="7">
        <v>83</v>
      </c>
      <c r="K58" s="6">
        <v>2.1999999999999999E-2</v>
      </c>
      <c r="L58" s="5">
        <f t="shared" si="1"/>
        <v>1.2445084191744261E-3</v>
      </c>
    </row>
    <row r="59" spans="4:12" x14ac:dyDescent="0.3">
      <c r="D59" s="9">
        <v>32903</v>
      </c>
      <c r="E59" s="9" t="s">
        <v>31</v>
      </c>
      <c r="F59" s="9" t="s">
        <v>30</v>
      </c>
      <c r="G59" s="8">
        <v>46247</v>
      </c>
      <c r="H59" s="7">
        <v>1900</v>
      </c>
      <c r="I59" s="7">
        <v>1824</v>
      </c>
      <c r="J59" s="7">
        <v>76</v>
      </c>
      <c r="K59" s="6">
        <v>0.04</v>
      </c>
      <c r="L59" s="5">
        <f t="shared" si="1"/>
        <v>1.1395498777982697E-3</v>
      </c>
    </row>
    <row r="60" spans="4:12" x14ac:dyDescent="0.3">
      <c r="D60" s="9">
        <v>32864</v>
      </c>
      <c r="E60" s="9" t="s">
        <v>43</v>
      </c>
      <c r="F60" s="9" t="s">
        <v>30</v>
      </c>
      <c r="G60" s="8">
        <v>46247</v>
      </c>
      <c r="H60" s="7">
        <v>3800</v>
      </c>
      <c r="I60" s="7">
        <v>3728</v>
      </c>
      <c r="J60" s="7">
        <v>72</v>
      </c>
      <c r="K60" s="6">
        <v>1.9E-2</v>
      </c>
      <c r="L60" s="5">
        <f t="shared" si="1"/>
        <v>1.079573568440466E-3</v>
      </c>
    </row>
    <row r="61" spans="4:12" x14ac:dyDescent="0.3">
      <c r="D61" s="9">
        <v>32877</v>
      </c>
      <c r="E61" s="9" t="s">
        <v>42</v>
      </c>
      <c r="F61" s="9" t="s">
        <v>12</v>
      </c>
      <c r="G61" s="8">
        <v>46246</v>
      </c>
      <c r="H61" s="7">
        <v>4963</v>
      </c>
      <c r="I61" s="7">
        <v>4900</v>
      </c>
      <c r="J61" s="7">
        <v>63</v>
      </c>
      <c r="K61" s="6">
        <v>1.2999999999999999E-2</v>
      </c>
      <c r="L61" s="5">
        <f t="shared" si="1"/>
        <v>9.4462687238540779E-4</v>
      </c>
    </row>
    <row r="62" spans="4:12" x14ac:dyDescent="0.3">
      <c r="D62" s="9">
        <v>32894</v>
      </c>
      <c r="E62" s="9" t="s">
        <v>41</v>
      </c>
      <c r="F62" s="9" t="s">
        <v>10</v>
      </c>
      <c r="G62" s="8">
        <v>46244</v>
      </c>
      <c r="H62" s="7">
        <v>3150</v>
      </c>
      <c r="I62" s="7">
        <v>3090</v>
      </c>
      <c r="J62" s="7">
        <v>60</v>
      </c>
      <c r="K62" s="6">
        <v>1.9E-2</v>
      </c>
      <c r="L62" s="5">
        <f t="shared" si="1"/>
        <v>8.9964464036705496E-4</v>
      </c>
    </row>
    <row r="63" spans="4:12" x14ac:dyDescent="0.3">
      <c r="D63" s="9">
        <v>32901</v>
      </c>
      <c r="E63" s="9" t="s">
        <v>40</v>
      </c>
      <c r="F63" s="9" t="s">
        <v>30</v>
      </c>
      <c r="G63" s="8">
        <v>46247</v>
      </c>
      <c r="H63" s="7">
        <v>5700</v>
      </c>
      <c r="I63" s="7">
        <v>5641</v>
      </c>
      <c r="J63" s="7">
        <v>59</v>
      </c>
      <c r="K63" s="6">
        <v>0.01</v>
      </c>
      <c r="L63" s="5">
        <f t="shared" si="1"/>
        <v>8.8465056302760409E-4</v>
      </c>
    </row>
    <row r="64" spans="4:12" x14ac:dyDescent="0.3">
      <c r="D64" s="9">
        <v>32855</v>
      </c>
      <c r="E64" s="9" t="s">
        <v>39</v>
      </c>
      <c r="F64" s="9" t="s">
        <v>24</v>
      </c>
      <c r="G64" s="8">
        <v>46241</v>
      </c>
      <c r="H64" s="7">
        <v>1200</v>
      </c>
      <c r="I64" s="7">
        <v>1150</v>
      </c>
      <c r="J64" s="7">
        <v>50</v>
      </c>
      <c r="K64" s="6">
        <v>4.2000000000000003E-2</v>
      </c>
      <c r="L64" s="5">
        <f t="shared" si="1"/>
        <v>7.4970386697254584E-4</v>
      </c>
    </row>
    <row r="65" spans="4:12" x14ac:dyDescent="0.3">
      <c r="D65" s="9">
        <v>32914</v>
      </c>
      <c r="E65" s="9" t="s">
        <v>38</v>
      </c>
      <c r="F65" s="9" t="s">
        <v>36</v>
      </c>
      <c r="G65" s="8">
        <v>46248</v>
      </c>
      <c r="H65" s="7">
        <v>1900</v>
      </c>
      <c r="I65" s="7">
        <v>1865</v>
      </c>
      <c r="J65" s="7">
        <v>35</v>
      </c>
      <c r="K65" s="6">
        <v>1.7999999999999999E-2</v>
      </c>
      <c r="L65" s="5">
        <f t="shared" si="1"/>
        <v>5.2479270688078204E-4</v>
      </c>
    </row>
    <row r="66" spans="4:12" x14ac:dyDescent="0.3">
      <c r="D66" s="9">
        <v>32917</v>
      </c>
      <c r="E66" s="9" t="s">
        <v>37</v>
      </c>
      <c r="F66" s="9" t="s">
        <v>36</v>
      </c>
      <c r="G66" s="8">
        <v>46248</v>
      </c>
      <c r="H66" s="7">
        <v>2200</v>
      </c>
      <c r="I66" s="7">
        <v>2166</v>
      </c>
      <c r="J66" s="7">
        <v>34</v>
      </c>
      <c r="K66" s="6">
        <v>1.4999999999999999E-2</v>
      </c>
      <c r="L66" s="5">
        <f t="shared" ref="L66:L91" si="2">J66/$B$8</f>
        <v>5.0979862954133117E-4</v>
      </c>
    </row>
    <row r="67" spans="4:12" x14ac:dyDescent="0.3">
      <c r="D67" s="9">
        <v>32892</v>
      </c>
      <c r="E67" s="9" t="s">
        <v>35</v>
      </c>
      <c r="F67" s="9" t="s">
        <v>30</v>
      </c>
      <c r="G67" s="8">
        <v>46247</v>
      </c>
      <c r="H67" s="7">
        <v>1900</v>
      </c>
      <c r="I67" s="7">
        <v>1872</v>
      </c>
      <c r="J67" s="7">
        <v>28</v>
      </c>
      <c r="K67" s="6">
        <v>1.4999999999999999E-2</v>
      </c>
      <c r="L67" s="5">
        <f t="shared" si="2"/>
        <v>4.1983416550462569E-4</v>
      </c>
    </row>
    <row r="68" spans="4:12" x14ac:dyDescent="0.3">
      <c r="D68" s="9">
        <v>32893</v>
      </c>
      <c r="E68" s="9" t="s">
        <v>34</v>
      </c>
      <c r="F68" s="9" t="s">
        <v>33</v>
      </c>
      <c r="G68" s="8">
        <v>46245</v>
      </c>
      <c r="H68" s="7">
        <v>600</v>
      </c>
      <c r="I68" s="7">
        <v>579</v>
      </c>
      <c r="J68" s="7">
        <v>21</v>
      </c>
      <c r="K68" s="6">
        <v>3.5000000000000003E-2</v>
      </c>
      <c r="L68" s="5">
        <f t="shared" si="2"/>
        <v>3.1487562412846928E-4</v>
      </c>
    </row>
    <row r="69" spans="4:12" x14ac:dyDescent="0.3">
      <c r="D69" s="9">
        <v>32881</v>
      </c>
      <c r="E69" s="9" t="s">
        <v>32</v>
      </c>
      <c r="F69" s="9" t="s">
        <v>12</v>
      </c>
      <c r="G69" s="8">
        <v>46244</v>
      </c>
      <c r="H69" s="7">
        <v>5600</v>
      </c>
      <c r="I69" s="7">
        <v>5585</v>
      </c>
      <c r="J69" s="7">
        <v>15</v>
      </c>
      <c r="K69" s="6">
        <v>3.0000000000000001E-3</v>
      </c>
      <c r="L69" s="5">
        <f t="shared" si="2"/>
        <v>2.2491116009176374E-4</v>
      </c>
    </row>
    <row r="70" spans="4:12" x14ac:dyDescent="0.3">
      <c r="D70" s="9">
        <v>32904</v>
      </c>
      <c r="E70" s="9" t="s">
        <v>31</v>
      </c>
      <c r="F70" s="9" t="s">
        <v>30</v>
      </c>
      <c r="G70" s="8">
        <v>46247</v>
      </c>
      <c r="H70" s="7">
        <v>1900</v>
      </c>
      <c r="I70" s="7">
        <v>1897</v>
      </c>
      <c r="J70" s="7">
        <v>3</v>
      </c>
      <c r="K70" s="6">
        <v>2E-3</v>
      </c>
      <c r="L70" s="5">
        <f t="shared" si="2"/>
        <v>4.498223201835275E-5</v>
      </c>
    </row>
    <row r="71" spans="4:12" x14ac:dyDescent="0.3">
      <c r="D71" s="9">
        <v>32601</v>
      </c>
      <c r="E71" s="9" t="s">
        <v>29</v>
      </c>
      <c r="F71" s="9" t="s">
        <v>28</v>
      </c>
      <c r="G71" s="8">
        <v>46244</v>
      </c>
      <c r="H71" s="7">
        <v>4200</v>
      </c>
      <c r="I71" s="7">
        <v>4200</v>
      </c>
      <c r="J71" s="7">
        <v>0</v>
      </c>
      <c r="K71" s="6">
        <v>0</v>
      </c>
      <c r="L71" s="5">
        <f t="shared" si="2"/>
        <v>0</v>
      </c>
    </row>
    <row r="72" spans="4:12" x14ac:dyDescent="0.3">
      <c r="D72" s="9">
        <v>32769</v>
      </c>
      <c r="E72" s="9" t="s">
        <v>27</v>
      </c>
      <c r="F72" s="9" t="s">
        <v>26</v>
      </c>
      <c r="G72" s="8">
        <v>46246</v>
      </c>
      <c r="H72" s="7">
        <v>4800</v>
      </c>
      <c r="I72" s="7">
        <v>4800</v>
      </c>
      <c r="J72" s="7">
        <v>0</v>
      </c>
      <c r="K72" s="6">
        <v>0</v>
      </c>
      <c r="L72" s="5">
        <f t="shared" si="2"/>
        <v>0</v>
      </c>
    </row>
    <row r="73" spans="4:12" x14ac:dyDescent="0.3">
      <c r="D73" s="9">
        <v>32850</v>
      </c>
      <c r="E73" s="9" t="s">
        <v>25</v>
      </c>
      <c r="F73" s="9" t="s">
        <v>24</v>
      </c>
      <c r="G73" s="8">
        <v>46244</v>
      </c>
      <c r="H73" s="7">
        <v>15200</v>
      </c>
      <c r="I73" s="7">
        <v>15200</v>
      </c>
      <c r="J73" s="7">
        <v>0</v>
      </c>
      <c r="K73" s="6">
        <v>0</v>
      </c>
      <c r="L73" s="5">
        <f t="shared" si="2"/>
        <v>0</v>
      </c>
    </row>
    <row r="74" spans="4:12" x14ac:dyDescent="0.3">
      <c r="D74" s="9">
        <v>32851</v>
      </c>
      <c r="E74" s="9" t="s">
        <v>23</v>
      </c>
      <c r="F74" s="9" t="s">
        <v>22</v>
      </c>
      <c r="G74" s="8">
        <v>46244</v>
      </c>
      <c r="H74" s="7">
        <v>2000</v>
      </c>
      <c r="I74" s="7">
        <v>2000</v>
      </c>
      <c r="J74" s="7">
        <v>0</v>
      </c>
      <c r="K74" s="6">
        <v>0</v>
      </c>
      <c r="L74" s="5">
        <f t="shared" si="2"/>
        <v>0</v>
      </c>
    </row>
    <row r="75" spans="4:12" x14ac:dyDescent="0.3">
      <c r="D75" s="9">
        <v>32852</v>
      </c>
      <c r="E75" s="9" t="s">
        <v>21</v>
      </c>
      <c r="F75" s="9" t="s">
        <v>20</v>
      </c>
      <c r="G75" s="8">
        <v>46244</v>
      </c>
      <c r="H75" s="7">
        <v>3150</v>
      </c>
      <c r="I75" s="7">
        <v>3150</v>
      </c>
      <c r="J75" s="7">
        <v>0</v>
      </c>
      <c r="K75" s="6">
        <v>0</v>
      </c>
      <c r="L75" s="5">
        <f t="shared" si="2"/>
        <v>0</v>
      </c>
    </row>
    <row r="76" spans="4:12" x14ac:dyDescent="0.3">
      <c r="D76" s="9">
        <v>32853</v>
      </c>
      <c r="E76" s="9" t="s">
        <v>16</v>
      </c>
      <c r="F76" s="9" t="s">
        <v>2</v>
      </c>
      <c r="G76" s="8">
        <v>46244</v>
      </c>
      <c r="H76" s="7">
        <v>13696</v>
      </c>
      <c r="I76" s="7">
        <v>14430</v>
      </c>
      <c r="J76" s="7">
        <v>0</v>
      </c>
      <c r="K76" s="6">
        <v>0</v>
      </c>
      <c r="L76" s="5">
        <f t="shared" si="2"/>
        <v>0</v>
      </c>
    </row>
    <row r="77" spans="4:12" x14ac:dyDescent="0.3">
      <c r="D77" s="9">
        <v>32878</v>
      </c>
      <c r="E77" s="9" t="s">
        <v>19</v>
      </c>
      <c r="F77" s="9" t="s">
        <v>12</v>
      </c>
      <c r="G77" s="8">
        <v>46245</v>
      </c>
      <c r="H77" s="7">
        <v>4000</v>
      </c>
      <c r="I77" s="7">
        <v>4020</v>
      </c>
      <c r="J77" s="7">
        <v>0</v>
      </c>
      <c r="K77" s="6">
        <v>0</v>
      </c>
      <c r="L77" s="5">
        <f t="shared" si="2"/>
        <v>0</v>
      </c>
    </row>
    <row r="78" spans="4:12" x14ac:dyDescent="0.3">
      <c r="D78" s="9">
        <v>32879</v>
      </c>
      <c r="E78" s="9" t="s">
        <v>4</v>
      </c>
      <c r="F78" s="9" t="s">
        <v>12</v>
      </c>
      <c r="G78" s="8">
        <v>46246</v>
      </c>
      <c r="H78" s="7">
        <v>10000</v>
      </c>
      <c r="I78" s="7">
        <v>10200</v>
      </c>
      <c r="J78" s="7">
        <v>0</v>
      </c>
      <c r="K78" s="6">
        <v>0</v>
      </c>
      <c r="L78" s="5">
        <f t="shared" si="2"/>
        <v>0</v>
      </c>
    </row>
    <row r="79" spans="4:12" x14ac:dyDescent="0.3">
      <c r="D79" s="9">
        <v>32880</v>
      </c>
      <c r="E79" s="9" t="s">
        <v>13</v>
      </c>
      <c r="F79" s="9" t="s">
        <v>12</v>
      </c>
      <c r="G79" s="8">
        <v>46245</v>
      </c>
      <c r="H79" s="7">
        <v>3000</v>
      </c>
      <c r="I79" s="7">
        <v>3083</v>
      </c>
      <c r="J79" s="7">
        <v>0</v>
      </c>
      <c r="K79" s="6">
        <v>0</v>
      </c>
      <c r="L79" s="5">
        <f t="shared" si="2"/>
        <v>0</v>
      </c>
    </row>
    <row r="80" spans="4:12" x14ac:dyDescent="0.3">
      <c r="D80" s="9">
        <v>32882</v>
      </c>
      <c r="E80" s="9" t="s">
        <v>18</v>
      </c>
      <c r="F80" s="9" t="s">
        <v>12</v>
      </c>
      <c r="G80" s="8">
        <v>46245</v>
      </c>
      <c r="H80" s="7">
        <v>5600</v>
      </c>
      <c r="I80" s="7">
        <v>5738</v>
      </c>
      <c r="J80" s="7">
        <v>0</v>
      </c>
      <c r="K80" s="6">
        <v>0</v>
      </c>
      <c r="L80" s="5">
        <f t="shared" si="2"/>
        <v>0</v>
      </c>
    </row>
    <row r="81" spans="4:12" x14ac:dyDescent="0.3">
      <c r="D81" s="9">
        <v>32883</v>
      </c>
      <c r="E81" s="9" t="s">
        <v>17</v>
      </c>
      <c r="F81" s="9" t="s">
        <v>12</v>
      </c>
      <c r="G81" s="8">
        <v>46245</v>
      </c>
      <c r="H81" s="7">
        <v>5600</v>
      </c>
      <c r="I81" s="7">
        <v>5722</v>
      </c>
      <c r="J81" s="7">
        <v>0</v>
      </c>
      <c r="K81" s="6">
        <v>0</v>
      </c>
      <c r="L81" s="5">
        <f t="shared" si="2"/>
        <v>0</v>
      </c>
    </row>
    <row r="82" spans="4:12" x14ac:dyDescent="0.3">
      <c r="D82" s="9">
        <v>32886</v>
      </c>
      <c r="E82" s="9" t="s">
        <v>16</v>
      </c>
      <c r="F82" s="9" t="s">
        <v>2</v>
      </c>
      <c r="G82" s="8">
        <v>46247</v>
      </c>
      <c r="H82" s="7">
        <v>14208</v>
      </c>
      <c r="I82" s="7">
        <v>15242</v>
      </c>
      <c r="J82" s="7">
        <v>0</v>
      </c>
      <c r="K82" s="6">
        <v>0</v>
      </c>
      <c r="L82" s="5">
        <f t="shared" si="2"/>
        <v>0</v>
      </c>
    </row>
    <row r="83" spans="4:12" x14ac:dyDescent="0.3">
      <c r="D83" s="9">
        <v>32889</v>
      </c>
      <c r="E83" s="9" t="s">
        <v>15</v>
      </c>
      <c r="F83" s="9" t="s">
        <v>14</v>
      </c>
      <c r="G83" s="8">
        <v>46246</v>
      </c>
      <c r="H83" s="7">
        <v>7600</v>
      </c>
      <c r="I83" s="7">
        <v>7662</v>
      </c>
      <c r="J83" s="7">
        <v>0</v>
      </c>
      <c r="K83" s="6">
        <v>0</v>
      </c>
      <c r="L83" s="5">
        <f t="shared" si="2"/>
        <v>0</v>
      </c>
    </row>
    <row r="84" spans="4:12" x14ac:dyDescent="0.3">
      <c r="D84" s="9">
        <v>32895</v>
      </c>
      <c r="E84" s="9" t="s">
        <v>13</v>
      </c>
      <c r="F84" s="9" t="s">
        <v>12</v>
      </c>
      <c r="G84" s="8">
        <v>46245</v>
      </c>
      <c r="H84" s="7">
        <v>2000</v>
      </c>
      <c r="I84" s="7">
        <v>2000</v>
      </c>
      <c r="J84" s="7">
        <v>0</v>
      </c>
      <c r="K84" s="6">
        <v>0</v>
      </c>
      <c r="L84" s="5">
        <f t="shared" si="2"/>
        <v>0</v>
      </c>
    </row>
    <row r="85" spans="4:12" x14ac:dyDescent="0.3">
      <c r="D85" s="9">
        <v>32909</v>
      </c>
      <c r="E85" s="9" t="s">
        <v>11</v>
      </c>
      <c r="F85" s="9" t="s">
        <v>10</v>
      </c>
      <c r="G85" s="8">
        <v>46244</v>
      </c>
      <c r="H85" s="7">
        <v>3150</v>
      </c>
      <c r="I85" s="7">
        <v>6180</v>
      </c>
      <c r="J85" s="7">
        <v>0</v>
      </c>
      <c r="K85" s="6">
        <v>0</v>
      </c>
      <c r="L85" s="5">
        <f t="shared" si="2"/>
        <v>0</v>
      </c>
    </row>
    <row r="86" spans="4:12" x14ac:dyDescent="0.3">
      <c r="D86" s="9">
        <v>32910</v>
      </c>
      <c r="E86" s="9" t="s">
        <v>8</v>
      </c>
      <c r="F86" s="9" t="s">
        <v>9</v>
      </c>
      <c r="G86" s="8">
        <v>46247</v>
      </c>
      <c r="H86" s="7">
        <v>2000</v>
      </c>
      <c r="I86" s="7">
        <v>2000</v>
      </c>
      <c r="J86" s="7">
        <v>0</v>
      </c>
      <c r="K86" s="6">
        <v>0</v>
      </c>
      <c r="L86" s="5">
        <f t="shared" si="2"/>
        <v>0</v>
      </c>
    </row>
    <row r="87" spans="4:12" x14ac:dyDescent="0.3">
      <c r="D87" s="9">
        <v>32911</v>
      </c>
      <c r="E87" s="9" t="s">
        <v>8</v>
      </c>
      <c r="F87" s="9" t="s">
        <v>7</v>
      </c>
      <c r="G87" s="8">
        <v>46247</v>
      </c>
      <c r="H87" s="7">
        <v>12000</v>
      </c>
      <c r="I87" s="7">
        <v>12050</v>
      </c>
      <c r="J87" s="7">
        <v>0</v>
      </c>
      <c r="K87" s="6">
        <v>0</v>
      </c>
      <c r="L87" s="5">
        <f t="shared" si="2"/>
        <v>0</v>
      </c>
    </row>
    <row r="88" spans="4:12" x14ac:dyDescent="0.3">
      <c r="D88" s="9">
        <v>32913</v>
      </c>
      <c r="E88" s="9" t="s">
        <v>6</v>
      </c>
      <c r="F88" s="9" t="s">
        <v>5</v>
      </c>
      <c r="G88" s="8">
        <v>46248</v>
      </c>
      <c r="H88" s="7">
        <v>7000</v>
      </c>
      <c r="I88" s="7">
        <v>7000</v>
      </c>
      <c r="J88" s="7">
        <v>0</v>
      </c>
      <c r="K88" s="6">
        <v>0</v>
      </c>
      <c r="L88" s="5">
        <f t="shared" si="2"/>
        <v>0</v>
      </c>
    </row>
    <row r="89" spans="4:12" x14ac:dyDescent="0.3">
      <c r="D89" s="9">
        <v>32920</v>
      </c>
      <c r="E89" s="9" t="s">
        <v>4</v>
      </c>
      <c r="F89" s="9" t="s">
        <v>2</v>
      </c>
      <c r="G89" s="8">
        <v>46248</v>
      </c>
      <c r="H89" s="7">
        <v>1500</v>
      </c>
      <c r="I89" s="7">
        <v>1530</v>
      </c>
      <c r="J89" s="7">
        <v>0</v>
      </c>
      <c r="K89" s="6">
        <v>0</v>
      </c>
      <c r="L89" s="5">
        <f t="shared" si="2"/>
        <v>0</v>
      </c>
    </row>
    <row r="90" spans="4:12" x14ac:dyDescent="0.3">
      <c r="D90" s="9">
        <v>32921</v>
      </c>
      <c r="E90" s="9" t="s">
        <v>3</v>
      </c>
      <c r="F90" s="9" t="s">
        <v>2</v>
      </c>
      <c r="G90" s="8">
        <v>46248</v>
      </c>
      <c r="H90" s="7">
        <v>1200</v>
      </c>
      <c r="I90" s="7">
        <v>1220</v>
      </c>
      <c r="J90" s="7">
        <v>0</v>
      </c>
      <c r="K90" s="6">
        <v>0</v>
      </c>
      <c r="L90" s="5">
        <f t="shared" si="2"/>
        <v>0</v>
      </c>
    </row>
    <row r="91" spans="4:12" x14ac:dyDescent="0.3">
      <c r="D91" s="9">
        <v>32923</v>
      </c>
      <c r="E91" s="9" t="s">
        <v>1</v>
      </c>
      <c r="F91" s="9" t="s">
        <v>0</v>
      </c>
      <c r="G91" s="8">
        <v>46247</v>
      </c>
      <c r="H91" s="7">
        <v>2000</v>
      </c>
      <c r="I91" s="7">
        <v>2000</v>
      </c>
      <c r="J91" s="7">
        <v>0</v>
      </c>
      <c r="K91" s="6">
        <v>0</v>
      </c>
      <c r="L91" s="5">
        <f t="shared" si="2"/>
        <v>0</v>
      </c>
    </row>
    <row r="92" spans="4:12" x14ac:dyDescent="0.3">
      <c r="G92" s="4"/>
      <c r="K92" s="3"/>
      <c r="L92" s="2"/>
    </row>
    <row r="93" spans="4:12" x14ac:dyDescent="0.3">
      <c r="G93" s="4"/>
      <c r="K93" s="3"/>
      <c r="L93" s="2"/>
    </row>
    <row r="94" spans="4:12" x14ac:dyDescent="0.3">
      <c r="G94" s="4"/>
      <c r="K94" s="3"/>
      <c r="L94" s="2"/>
    </row>
    <row r="95" spans="4:12" x14ac:dyDescent="0.3">
      <c r="G95" s="4"/>
      <c r="K95" s="3"/>
      <c r="L95" s="2"/>
    </row>
    <row r="96" spans="4:12" x14ac:dyDescent="0.3">
      <c r="G96" s="4"/>
      <c r="K96" s="3"/>
      <c r="L96" s="2"/>
    </row>
    <row r="97" spans="7:12" x14ac:dyDescent="0.3">
      <c r="G97" s="4"/>
      <c r="K97" s="3"/>
      <c r="L97" s="2"/>
    </row>
    <row r="98" spans="7:12" x14ac:dyDescent="0.3">
      <c r="G98" s="4"/>
      <c r="K98" s="3"/>
      <c r="L98" s="2"/>
    </row>
    <row r="99" spans="7:12" x14ac:dyDescent="0.3">
      <c r="G99" s="4"/>
      <c r="K99" s="3"/>
      <c r="L99" s="2"/>
    </row>
    <row r="100" spans="7:12" x14ac:dyDescent="0.3">
      <c r="G100" s="4"/>
      <c r="K100" s="3"/>
      <c r="L100" s="2"/>
    </row>
    <row r="101" spans="7:12" x14ac:dyDescent="0.3">
      <c r="G101" s="4"/>
      <c r="K101" s="3"/>
      <c r="L101" s="2"/>
    </row>
    <row r="102" spans="7:12" x14ac:dyDescent="0.3">
      <c r="G102" s="4"/>
      <c r="K102" s="3"/>
      <c r="L102" s="2"/>
    </row>
    <row r="103" spans="7:12" x14ac:dyDescent="0.3">
      <c r="G103" s="4"/>
      <c r="K103" s="3"/>
      <c r="L103" s="2"/>
    </row>
    <row r="104" spans="7:12" x14ac:dyDescent="0.3">
      <c r="G104" s="4"/>
      <c r="K104" s="3"/>
      <c r="L104" s="2"/>
    </row>
    <row r="105" spans="7:12" x14ac:dyDescent="0.3">
      <c r="G105" s="4"/>
      <c r="K105" s="3"/>
      <c r="L105" s="2"/>
    </row>
    <row r="106" spans="7:12" x14ac:dyDescent="0.3">
      <c r="G106" s="4"/>
      <c r="K106" s="3"/>
      <c r="L106" s="2"/>
    </row>
    <row r="107" spans="7:12" x14ac:dyDescent="0.3">
      <c r="G107" s="4"/>
      <c r="K107" s="3"/>
      <c r="L107" s="2"/>
    </row>
    <row r="108" spans="7:12" x14ac:dyDescent="0.3">
      <c r="G108" s="4"/>
      <c r="K108" s="3"/>
      <c r="L108" s="2"/>
    </row>
    <row r="109" spans="7:12" x14ac:dyDescent="0.3">
      <c r="G109" s="4"/>
      <c r="K109" s="3"/>
      <c r="L109" s="2"/>
    </row>
    <row r="110" spans="7:12" x14ac:dyDescent="0.3">
      <c r="G110" s="4"/>
      <c r="K110" s="3"/>
      <c r="L110" s="2"/>
    </row>
    <row r="111" spans="7:12" x14ac:dyDescent="0.3">
      <c r="G111" s="4"/>
      <c r="K111" s="3"/>
      <c r="L111" s="2"/>
    </row>
    <row r="112" spans="7:12" x14ac:dyDescent="0.3">
      <c r="G112" s="4"/>
      <c r="K112" s="3"/>
      <c r="L112" s="2"/>
    </row>
    <row r="113" spans="7:12" x14ac:dyDescent="0.3">
      <c r="G113" s="4"/>
      <c r="K113" s="3"/>
      <c r="L113" s="2"/>
    </row>
    <row r="114" spans="7:12" x14ac:dyDescent="0.3">
      <c r="G114" s="4"/>
      <c r="K114" s="3"/>
      <c r="L114" s="2"/>
    </row>
    <row r="115" spans="7:12" x14ac:dyDescent="0.3">
      <c r="G115" s="4"/>
      <c r="K115" s="3"/>
      <c r="L115" s="2"/>
    </row>
    <row r="116" spans="7:12" x14ac:dyDescent="0.3">
      <c r="G116" s="4"/>
      <c r="K116" s="3"/>
      <c r="L116" s="2"/>
    </row>
    <row r="117" spans="7:12" x14ac:dyDescent="0.3">
      <c r="G117" s="4"/>
      <c r="K117" s="3"/>
      <c r="L117" s="2"/>
    </row>
    <row r="118" spans="7:12" x14ac:dyDescent="0.3">
      <c r="G118" s="4"/>
      <c r="K118" s="3"/>
      <c r="L118" s="2"/>
    </row>
    <row r="119" spans="7:12" x14ac:dyDescent="0.3">
      <c r="G119" s="4"/>
      <c r="K119" s="3"/>
      <c r="L119" s="2"/>
    </row>
    <row r="120" spans="7:12" x14ac:dyDescent="0.3">
      <c r="G120" s="4"/>
      <c r="K120" s="3"/>
      <c r="L120" s="2"/>
    </row>
    <row r="121" spans="7:12" x14ac:dyDescent="0.3">
      <c r="G121" s="4"/>
      <c r="K121" s="3"/>
      <c r="L121" s="2"/>
    </row>
    <row r="122" spans="7:12" x14ac:dyDescent="0.3">
      <c r="G122" s="4"/>
      <c r="K122" s="3"/>
      <c r="L122" s="2"/>
    </row>
    <row r="123" spans="7:12" x14ac:dyDescent="0.3">
      <c r="G123" s="4"/>
      <c r="K123" s="3"/>
      <c r="L123" s="2"/>
    </row>
    <row r="124" spans="7:12" x14ac:dyDescent="0.3">
      <c r="G124" s="4"/>
      <c r="K124" s="3"/>
      <c r="L124" s="2"/>
    </row>
    <row r="125" spans="7:12" x14ac:dyDescent="0.3">
      <c r="G125" s="4"/>
      <c r="K125" s="3"/>
      <c r="L125" s="2"/>
    </row>
    <row r="126" spans="7:12" x14ac:dyDescent="0.3">
      <c r="G126" s="4"/>
      <c r="K126" s="3"/>
      <c r="L126" s="2"/>
    </row>
    <row r="127" spans="7:12" x14ac:dyDescent="0.3">
      <c r="G127" s="4"/>
      <c r="K127" s="3"/>
      <c r="L127" s="2"/>
    </row>
    <row r="128" spans="7:12" x14ac:dyDescent="0.3">
      <c r="G128" s="4"/>
      <c r="K128" s="3"/>
      <c r="L128" s="2"/>
    </row>
    <row r="129" spans="7:12" x14ac:dyDescent="0.3">
      <c r="G129" s="4"/>
      <c r="K129" s="3"/>
      <c r="L129" s="2"/>
    </row>
  </sheetData>
  <autoFilter ref="D1:L1" xr:uid="{ED0A2852-B90F-4E5C-9DCF-FC384D5546E0}"/>
  <mergeCells count="1">
    <mergeCell ref="A1:B1"/>
  </mergeCells>
  <conditionalFormatting sqref="D2:D1048576">
    <cfRule type="duplicateValues" dxfId="22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1FB7-A8DC-43A0-882C-BDF91292E103}">
  <sheetPr>
    <tabColor rgb="FFFF0000"/>
    <pageSetUpPr fitToPage="1"/>
  </sheetPr>
  <dimension ref="A1:M129"/>
  <sheetViews>
    <sheetView zoomScaleNormal="100" workbookViewId="0">
      <selection activeCell="B14" sqref="B14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1" bestFit="1" customWidth="1"/>
    <col min="10" max="10" width="23.5546875" style="1" bestFit="1" customWidth="1"/>
    <col min="11" max="11" width="13.44140625" style="1" bestFit="1" customWidth="1"/>
    <col min="12" max="12" width="11.6640625" bestFit="1" customWidth="1"/>
    <col min="13" max="13" width="23.21875" bestFit="1" customWidth="1"/>
  </cols>
  <sheetData>
    <row r="1" spans="1:13" x14ac:dyDescent="0.3">
      <c r="A1" s="55" t="s">
        <v>119</v>
      </c>
      <c r="B1" s="55"/>
      <c r="E1" s="23" t="s">
        <v>118</v>
      </c>
      <c r="F1" s="23" t="s">
        <v>117</v>
      </c>
      <c r="G1" s="23" t="s">
        <v>116</v>
      </c>
      <c r="H1" s="23" t="s">
        <v>115</v>
      </c>
      <c r="I1" s="23" t="s">
        <v>114</v>
      </c>
      <c r="J1" s="23" t="s">
        <v>113</v>
      </c>
      <c r="K1" s="23" t="s">
        <v>112</v>
      </c>
      <c r="L1" s="23" t="s">
        <v>111</v>
      </c>
      <c r="M1" s="23" t="s">
        <v>110</v>
      </c>
    </row>
    <row r="2" spans="1:13" x14ac:dyDescent="0.3">
      <c r="A2" s="15" t="s">
        <v>109</v>
      </c>
      <c r="B2" s="8">
        <v>46248</v>
      </c>
      <c r="E2" s="9">
        <v>32569</v>
      </c>
      <c r="F2" s="9" t="s">
        <v>104</v>
      </c>
      <c r="G2" s="9" t="s">
        <v>12</v>
      </c>
      <c r="H2" s="8">
        <v>46248</v>
      </c>
      <c r="I2" s="7">
        <v>16800</v>
      </c>
      <c r="J2" s="7">
        <v>11103</v>
      </c>
      <c r="K2" s="7">
        <v>5697</v>
      </c>
      <c r="L2" s="6">
        <v>0.33900000000000002</v>
      </c>
      <c r="M2" s="12">
        <f t="shared" ref="M2:M33" si="0">K2/$B$8</f>
        <v>0.11205523101433883</v>
      </c>
    </row>
    <row r="3" spans="1:13" x14ac:dyDescent="0.3">
      <c r="A3" s="15" t="s">
        <v>107</v>
      </c>
      <c r="B3" s="8">
        <v>46255</v>
      </c>
      <c r="E3" s="9">
        <v>32693</v>
      </c>
      <c r="F3" s="9" t="s">
        <v>173</v>
      </c>
      <c r="G3" s="9" t="s">
        <v>2</v>
      </c>
      <c r="H3" s="8">
        <v>46254</v>
      </c>
      <c r="I3" s="7">
        <v>16000</v>
      </c>
      <c r="J3" s="7">
        <v>12130</v>
      </c>
      <c r="K3" s="7">
        <v>3870</v>
      </c>
      <c r="L3" s="6">
        <v>0.24199999999999999</v>
      </c>
      <c r="M3" s="12">
        <f t="shared" si="0"/>
        <v>7.6119667197734109E-2</v>
      </c>
    </row>
    <row r="4" spans="1:13" x14ac:dyDescent="0.3">
      <c r="E4" s="9">
        <v>32517</v>
      </c>
      <c r="F4" s="9" t="s">
        <v>182</v>
      </c>
      <c r="G4" s="9" t="s">
        <v>12</v>
      </c>
      <c r="H4" s="8">
        <v>46252</v>
      </c>
      <c r="I4" s="7">
        <v>19600</v>
      </c>
      <c r="J4" s="7">
        <v>15970</v>
      </c>
      <c r="K4" s="7">
        <v>3630</v>
      </c>
      <c r="L4" s="6">
        <v>0.185</v>
      </c>
      <c r="M4" s="12">
        <f t="shared" si="0"/>
        <v>7.1399067681595568E-2</v>
      </c>
    </row>
    <row r="5" spans="1:13" x14ac:dyDescent="0.3">
      <c r="A5" s="15" t="s">
        <v>105</v>
      </c>
      <c r="B5" s="9">
        <f>SUBTOTAL(3,E2:E1048576)</f>
        <v>104</v>
      </c>
      <c r="E5" s="9">
        <v>32793</v>
      </c>
      <c r="F5" s="9" t="s">
        <v>174</v>
      </c>
      <c r="G5" s="9" t="s">
        <v>71</v>
      </c>
      <c r="H5" s="8">
        <v>46254</v>
      </c>
      <c r="I5" s="7">
        <v>22000</v>
      </c>
      <c r="J5" s="7">
        <v>19300</v>
      </c>
      <c r="K5" s="7">
        <v>2700</v>
      </c>
      <c r="L5" s="6">
        <v>0.123</v>
      </c>
      <c r="M5" s="12">
        <f t="shared" si="0"/>
        <v>5.3106744556558685E-2</v>
      </c>
    </row>
    <row r="6" spans="1:13" x14ac:dyDescent="0.3">
      <c r="A6" s="15" t="s">
        <v>103</v>
      </c>
      <c r="B6" s="20">
        <f>SUBTOTAL(9,I2:I167)</f>
        <v>922353</v>
      </c>
      <c r="E6" s="9">
        <v>32837</v>
      </c>
      <c r="F6" s="9" t="s">
        <v>177</v>
      </c>
      <c r="G6" s="9" t="s">
        <v>176</v>
      </c>
      <c r="H6" s="8">
        <v>46255</v>
      </c>
      <c r="I6" s="7">
        <v>5000</v>
      </c>
      <c r="J6" s="7">
        <v>2450</v>
      </c>
      <c r="K6" s="7">
        <v>2550</v>
      </c>
      <c r="L6" s="6">
        <v>0.51</v>
      </c>
      <c r="M6" s="12">
        <f t="shared" si="0"/>
        <v>5.0156369858972087E-2</v>
      </c>
    </row>
    <row r="7" spans="1:13" x14ac:dyDescent="0.3">
      <c r="A7" s="15" t="s">
        <v>101</v>
      </c>
      <c r="B7" s="20">
        <f>SUBTOTAL(9,J2:J167)</f>
        <v>878861</v>
      </c>
      <c r="D7" s="21"/>
      <c r="E7" s="9">
        <v>32518</v>
      </c>
      <c r="F7" s="9" t="s">
        <v>182</v>
      </c>
      <c r="G7" s="9" t="s">
        <v>12</v>
      </c>
      <c r="H7" s="8">
        <v>46251</v>
      </c>
      <c r="I7" s="7">
        <v>19600</v>
      </c>
      <c r="J7" s="7">
        <v>17500</v>
      </c>
      <c r="K7" s="7">
        <v>2100</v>
      </c>
      <c r="L7" s="6">
        <v>0.107</v>
      </c>
      <c r="M7" s="12">
        <f t="shared" si="0"/>
        <v>4.1305245766212306E-2</v>
      </c>
    </row>
    <row r="8" spans="1:13" x14ac:dyDescent="0.3">
      <c r="A8" s="15" t="s">
        <v>99</v>
      </c>
      <c r="B8" s="20">
        <f>SUBTOTAL(9,K2:K167)</f>
        <v>50841</v>
      </c>
      <c r="D8" s="19"/>
      <c r="E8" s="9">
        <v>32716</v>
      </c>
      <c r="F8" s="9" t="s">
        <v>88</v>
      </c>
      <c r="G8" s="9" t="s">
        <v>12</v>
      </c>
      <c r="H8" s="8">
        <v>46252</v>
      </c>
      <c r="I8" s="7">
        <v>18000</v>
      </c>
      <c r="J8" s="7">
        <v>16250</v>
      </c>
      <c r="K8" s="7">
        <v>1750</v>
      </c>
      <c r="L8" s="6">
        <v>9.7000000000000003E-2</v>
      </c>
      <c r="M8" s="12">
        <f t="shared" si="0"/>
        <v>3.442103813851026E-2</v>
      </c>
    </row>
    <row r="9" spans="1:13" x14ac:dyDescent="0.3">
      <c r="A9" s="15" t="s">
        <v>98</v>
      </c>
      <c r="B9" s="18">
        <f>B8/B6</f>
        <v>5.5120978627488611E-2</v>
      </c>
      <c r="D9" s="17"/>
      <c r="E9" s="9">
        <v>32829</v>
      </c>
      <c r="F9" s="9" t="s">
        <v>181</v>
      </c>
      <c r="G9" s="9" t="s">
        <v>180</v>
      </c>
      <c r="H9" s="8">
        <v>46254</v>
      </c>
      <c r="I9" s="7">
        <v>12000</v>
      </c>
      <c r="J9" s="7">
        <v>10625</v>
      </c>
      <c r="K9" s="7">
        <v>1375</v>
      </c>
      <c r="L9" s="6">
        <v>0.115</v>
      </c>
      <c r="M9" s="12">
        <f t="shared" si="0"/>
        <v>2.7045101394543775E-2</v>
      </c>
    </row>
    <row r="10" spans="1:13" x14ac:dyDescent="0.3">
      <c r="A10" s="15" t="s">
        <v>96</v>
      </c>
      <c r="B10" s="9">
        <f>COUNTIF(L:L,"&gt;=5%")</f>
        <v>25</v>
      </c>
      <c r="D10" s="16"/>
      <c r="E10" s="9">
        <v>32792</v>
      </c>
      <c r="F10" s="9" t="s">
        <v>174</v>
      </c>
      <c r="G10" s="9" t="s">
        <v>71</v>
      </c>
      <c r="H10" s="8">
        <v>46251</v>
      </c>
      <c r="I10" s="7">
        <v>22000</v>
      </c>
      <c r="J10" s="7">
        <v>20700</v>
      </c>
      <c r="K10" s="7">
        <v>1300</v>
      </c>
      <c r="L10" s="6">
        <v>5.8999999999999997E-2</v>
      </c>
      <c r="M10" s="12">
        <f t="shared" si="0"/>
        <v>2.5569914045750475E-2</v>
      </c>
    </row>
    <row r="11" spans="1:13" x14ac:dyDescent="0.3">
      <c r="A11" s="15" t="s">
        <v>95</v>
      </c>
      <c r="B11" s="14">
        <f>B10/B5</f>
        <v>0.24038461538461539</v>
      </c>
      <c r="E11" s="9">
        <v>32876</v>
      </c>
      <c r="F11" s="9" t="s">
        <v>179</v>
      </c>
      <c r="G11" s="9" t="s">
        <v>12</v>
      </c>
      <c r="H11" s="8">
        <v>46253</v>
      </c>
      <c r="I11" s="7">
        <v>30233</v>
      </c>
      <c r="J11" s="7">
        <v>29000</v>
      </c>
      <c r="K11" s="7">
        <v>1233</v>
      </c>
      <c r="L11" s="6">
        <v>4.1000000000000002E-2</v>
      </c>
      <c r="M11" s="12">
        <f t="shared" si="0"/>
        <v>2.4252080014161799E-2</v>
      </c>
    </row>
    <row r="12" spans="1:13" x14ac:dyDescent="0.3">
      <c r="E12" s="9">
        <v>32949</v>
      </c>
      <c r="F12" s="9" t="s">
        <v>165</v>
      </c>
      <c r="G12" s="9" t="s">
        <v>79</v>
      </c>
      <c r="H12" s="8">
        <v>46254</v>
      </c>
      <c r="I12" s="7">
        <v>12600</v>
      </c>
      <c r="J12" s="7">
        <v>11450</v>
      </c>
      <c r="K12" s="7">
        <v>1150</v>
      </c>
      <c r="L12" s="6">
        <v>9.0999999999999998E-2</v>
      </c>
      <c r="M12" s="12">
        <f t="shared" si="0"/>
        <v>2.2619539348163884E-2</v>
      </c>
    </row>
    <row r="13" spans="1:13" x14ac:dyDescent="0.3">
      <c r="E13" s="9">
        <v>32791</v>
      </c>
      <c r="F13" s="9" t="s">
        <v>174</v>
      </c>
      <c r="G13" s="9" t="s">
        <v>71</v>
      </c>
      <c r="H13" s="8">
        <v>46253</v>
      </c>
      <c r="I13" s="7">
        <v>22000</v>
      </c>
      <c r="J13" s="7">
        <v>20900</v>
      </c>
      <c r="K13" s="7">
        <v>1100</v>
      </c>
      <c r="L13" s="6">
        <v>0.05</v>
      </c>
      <c r="M13" s="12">
        <f t="shared" si="0"/>
        <v>2.163608111563502E-2</v>
      </c>
    </row>
    <row r="14" spans="1:13" x14ac:dyDescent="0.3">
      <c r="A14" s="26" t="s">
        <v>178</v>
      </c>
      <c r="B14" s="27">
        <f>B8-'[1]17-08'!B8</f>
        <v>-15852</v>
      </c>
      <c r="E14" s="9">
        <v>32821</v>
      </c>
      <c r="F14" s="9" t="s">
        <v>171</v>
      </c>
      <c r="G14" s="9" t="s">
        <v>170</v>
      </c>
      <c r="H14" s="8">
        <v>46255</v>
      </c>
      <c r="I14" s="7">
        <v>18000</v>
      </c>
      <c r="J14" s="7">
        <v>17000</v>
      </c>
      <c r="K14" s="7">
        <v>1000</v>
      </c>
      <c r="L14" s="6">
        <v>5.6000000000000001E-2</v>
      </c>
      <c r="M14" s="12">
        <f t="shared" si="0"/>
        <v>1.9669164650577289E-2</v>
      </c>
    </row>
    <row r="15" spans="1:13" x14ac:dyDescent="0.3">
      <c r="A15" s="26" t="s">
        <v>178</v>
      </c>
      <c r="B15" s="25">
        <f>B9-'[1]17-08'!B9</f>
        <v>-3.1681454178164155E-2</v>
      </c>
      <c r="E15" s="9">
        <v>32950</v>
      </c>
      <c r="F15" s="9" t="s">
        <v>165</v>
      </c>
      <c r="G15" s="9" t="s">
        <v>79</v>
      </c>
      <c r="H15" s="8">
        <v>46254</v>
      </c>
      <c r="I15" s="7">
        <v>12600</v>
      </c>
      <c r="J15" s="7">
        <v>11603</v>
      </c>
      <c r="K15" s="7">
        <v>997</v>
      </c>
      <c r="L15" s="6">
        <v>7.9000000000000001E-2</v>
      </c>
      <c r="M15" s="5">
        <f t="shared" si="0"/>
        <v>1.9610157156625559E-2</v>
      </c>
    </row>
    <row r="16" spans="1:13" x14ac:dyDescent="0.3">
      <c r="E16" s="9">
        <v>32839</v>
      </c>
      <c r="F16" s="9" t="s">
        <v>177</v>
      </c>
      <c r="G16" s="9" t="s">
        <v>176</v>
      </c>
      <c r="H16" s="8">
        <v>46254</v>
      </c>
      <c r="I16" s="7">
        <v>16000</v>
      </c>
      <c r="J16" s="7">
        <v>15050</v>
      </c>
      <c r="K16" s="7">
        <v>950</v>
      </c>
      <c r="L16" s="6">
        <v>5.8999999999999997E-2</v>
      </c>
      <c r="M16" s="5">
        <f t="shared" si="0"/>
        <v>1.8685706418048426E-2</v>
      </c>
    </row>
    <row r="17" spans="5:13" x14ac:dyDescent="0.3">
      <c r="E17" s="9">
        <v>32820</v>
      </c>
      <c r="F17" s="9" t="s">
        <v>171</v>
      </c>
      <c r="G17" s="9" t="s">
        <v>170</v>
      </c>
      <c r="H17" s="8">
        <v>46254</v>
      </c>
      <c r="I17" s="7">
        <v>18000</v>
      </c>
      <c r="J17" s="7">
        <v>17100</v>
      </c>
      <c r="K17" s="7">
        <v>900</v>
      </c>
      <c r="L17" s="6">
        <v>0.05</v>
      </c>
      <c r="M17" s="5">
        <f t="shared" si="0"/>
        <v>1.7702248185519562E-2</v>
      </c>
    </row>
    <row r="18" spans="5:13" x14ac:dyDescent="0.3">
      <c r="E18" s="9">
        <v>32470</v>
      </c>
      <c r="F18" s="9" t="s">
        <v>97</v>
      </c>
      <c r="G18" s="9" t="s">
        <v>12</v>
      </c>
      <c r="H18" s="8">
        <v>46255</v>
      </c>
      <c r="I18" s="7">
        <v>24000</v>
      </c>
      <c r="J18" s="7">
        <v>23125</v>
      </c>
      <c r="K18" s="7">
        <v>875</v>
      </c>
      <c r="L18" s="6">
        <v>3.5999999999999997E-2</v>
      </c>
      <c r="M18" s="5">
        <f t="shared" si="0"/>
        <v>1.721051906925513E-2</v>
      </c>
    </row>
    <row r="19" spans="5:13" x14ac:dyDescent="0.3">
      <c r="E19" s="9">
        <v>32811</v>
      </c>
      <c r="F19" s="9" t="s">
        <v>175</v>
      </c>
      <c r="G19" s="9" t="s">
        <v>22</v>
      </c>
      <c r="H19" s="8">
        <v>46252</v>
      </c>
      <c r="I19" s="7">
        <v>2000</v>
      </c>
      <c r="J19" s="7">
        <v>1136</v>
      </c>
      <c r="K19" s="7">
        <v>864</v>
      </c>
      <c r="L19" s="24">
        <v>0.432</v>
      </c>
      <c r="M19" s="5">
        <f t="shared" si="0"/>
        <v>1.6994158258098777E-2</v>
      </c>
    </row>
    <row r="20" spans="5:13" x14ac:dyDescent="0.3">
      <c r="E20" s="9">
        <v>32794</v>
      </c>
      <c r="F20" s="9" t="s">
        <v>174</v>
      </c>
      <c r="G20" s="9" t="s">
        <v>71</v>
      </c>
      <c r="H20" s="8">
        <v>46254</v>
      </c>
      <c r="I20" s="7">
        <v>22000</v>
      </c>
      <c r="J20" s="7">
        <v>21150</v>
      </c>
      <c r="K20" s="7">
        <v>850</v>
      </c>
      <c r="L20" s="6">
        <v>3.9E-2</v>
      </c>
      <c r="M20" s="5">
        <f t="shared" si="0"/>
        <v>1.6718789952990698E-2</v>
      </c>
    </row>
    <row r="21" spans="5:13" x14ac:dyDescent="0.3">
      <c r="E21" s="9">
        <v>32795</v>
      </c>
      <c r="F21" s="9" t="s">
        <v>174</v>
      </c>
      <c r="G21" s="9" t="s">
        <v>71</v>
      </c>
      <c r="H21" s="8">
        <v>46255</v>
      </c>
      <c r="I21" s="7">
        <v>24000</v>
      </c>
      <c r="J21" s="7">
        <v>23150</v>
      </c>
      <c r="K21" s="7">
        <v>850</v>
      </c>
      <c r="L21" s="6">
        <v>3.5000000000000003E-2</v>
      </c>
      <c r="M21" s="5">
        <f t="shared" si="0"/>
        <v>1.6718789952990698E-2</v>
      </c>
    </row>
    <row r="22" spans="5:13" x14ac:dyDescent="0.3">
      <c r="E22" s="9">
        <v>32730</v>
      </c>
      <c r="F22" s="9" t="s">
        <v>88</v>
      </c>
      <c r="G22" s="9" t="s">
        <v>12</v>
      </c>
      <c r="H22" s="8">
        <v>46253</v>
      </c>
      <c r="I22" s="7">
        <v>18000</v>
      </c>
      <c r="J22" s="7">
        <v>17200</v>
      </c>
      <c r="K22" s="7">
        <v>800</v>
      </c>
      <c r="L22" s="6">
        <v>4.3999999999999997E-2</v>
      </c>
      <c r="M22" s="5">
        <f t="shared" si="0"/>
        <v>1.5735331720461831E-2</v>
      </c>
    </row>
    <row r="23" spans="5:13" x14ac:dyDescent="0.3">
      <c r="E23" s="9">
        <v>32691</v>
      </c>
      <c r="F23" s="9" t="s">
        <v>173</v>
      </c>
      <c r="G23" s="9" t="s">
        <v>2</v>
      </c>
      <c r="H23" s="8">
        <v>46253</v>
      </c>
      <c r="I23" s="7">
        <v>16000</v>
      </c>
      <c r="J23" s="7">
        <v>15220</v>
      </c>
      <c r="K23" s="7">
        <v>780</v>
      </c>
      <c r="L23" s="6">
        <v>4.9000000000000002E-2</v>
      </c>
      <c r="M23" s="5">
        <f t="shared" si="0"/>
        <v>1.5341948427450286E-2</v>
      </c>
    </row>
    <row r="24" spans="5:13" x14ac:dyDescent="0.3">
      <c r="E24" s="9">
        <v>32865</v>
      </c>
      <c r="F24" s="9" t="s">
        <v>89</v>
      </c>
      <c r="G24" s="9" t="s">
        <v>30</v>
      </c>
      <c r="H24" s="8">
        <v>46248</v>
      </c>
      <c r="I24" s="7">
        <v>15200</v>
      </c>
      <c r="J24" s="7">
        <v>14487</v>
      </c>
      <c r="K24" s="7">
        <v>713</v>
      </c>
      <c r="L24" s="6">
        <v>4.7E-2</v>
      </c>
      <c r="M24" s="5">
        <f t="shared" si="0"/>
        <v>1.4024114395861608E-2</v>
      </c>
    </row>
    <row r="25" spans="5:13" x14ac:dyDescent="0.3">
      <c r="E25" s="9">
        <v>32464</v>
      </c>
      <c r="F25" s="9" t="s">
        <v>172</v>
      </c>
      <c r="G25" s="9" t="s">
        <v>12</v>
      </c>
      <c r="H25" s="8">
        <v>46255</v>
      </c>
      <c r="I25" s="7">
        <v>18000</v>
      </c>
      <c r="J25" s="7">
        <v>17300</v>
      </c>
      <c r="K25" s="7">
        <v>700</v>
      </c>
      <c r="L25" s="6">
        <v>3.9E-2</v>
      </c>
      <c r="M25" s="5">
        <f t="shared" si="0"/>
        <v>1.3768415255404103E-2</v>
      </c>
    </row>
    <row r="26" spans="5:13" x14ac:dyDescent="0.3">
      <c r="E26" s="9">
        <v>32732</v>
      </c>
      <c r="F26" s="9" t="s">
        <v>88</v>
      </c>
      <c r="G26" s="9" t="s">
        <v>12</v>
      </c>
      <c r="H26" s="8">
        <v>46248</v>
      </c>
      <c r="I26" s="7">
        <v>18000</v>
      </c>
      <c r="J26" s="7">
        <v>17350</v>
      </c>
      <c r="K26" s="7">
        <v>650</v>
      </c>
      <c r="L26" s="6">
        <v>3.5999999999999997E-2</v>
      </c>
      <c r="M26" s="5">
        <f t="shared" si="0"/>
        <v>1.2784957022875238E-2</v>
      </c>
    </row>
    <row r="27" spans="5:13" x14ac:dyDescent="0.3">
      <c r="E27" s="9">
        <v>32907</v>
      </c>
      <c r="F27" s="9" t="s">
        <v>86</v>
      </c>
      <c r="G27" s="9" t="s">
        <v>14</v>
      </c>
      <c r="H27" s="8">
        <v>46248</v>
      </c>
      <c r="I27" s="7">
        <v>13300</v>
      </c>
      <c r="J27" s="7">
        <v>12689</v>
      </c>
      <c r="K27" s="7">
        <v>611</v>
      </c>
      <c r="L27" s="6">
        <v>4.5999999999999999E-2</v>
      </c>
      <c r="M27" s="5">
        <f t="shared" si="0"/>
        <v>1.2017859601502725E-2</v>
      </c>
    </row>
    <row r="28" spans="5:13" x14ac:dyDescent="0.3">
      <c r="E28" s="9">
        <v>32906</v>
      </c>
      <c r="F28" s="9" t="s">
        <v>81</v>
      </c>
      <c r="G28" s="9" t="s">
        <v>14</v>
      </c>
      <c r="H28" s="8">
        <v>46248</v>
      </c>
      <c r="I28" s="7">
        <v>9500</v>
      </c>
      <c r="J28" s="7">
        <v>8915</v>
      </c>
      <c r="K28" s="7">
        <v>585</v>
      </c>
      <c r="L28" s="6">
        <v>6.2E-2</v>
      </c>
      <c r="M28" s="5">
        <f t="shared" si="0"/>
        <v>1.1506461320587715E-2</v>
      </c>
    </row>
    <row r="29" spans="5:13" x14ac:dyDescent="0.3">
      <c r="E29" s="9">
        <v>32735</v>
      </c>
      <c r="F29" s="9" t="s">
        <v>84</v>
      </c>
      <c r="G29" s="9" t="s">
        <v>83</v>
      </c>
      <c r="H29" s="8">
        <v>46248</v>
      </c>
      <c r="I29" s="7">
        <v>6600</v>
      </c>
      <c r="J29" s="7">
        <v>6022</v>
      </c>
      <c r="K29" s="7">
        <v>578</v>
      </c>
      <c r="L29" s="6">
        <v>8.7999999999999995E-2</v>
      </c>
      <c r="M29" s="5">
        <f t="shared" si="0"/>
        <v>1.1368777168033674E-2</v>
      </c>
    </row>
    <row r="30" spans="5:13" x14ac:dyDescent="0.3">
      <c r="E30" s="9">
        <v>32731</v>
      </c>
      <c r="F30" s="9" t="s">
        <v>88</v>
      </c>
      <c r="G30" s="9" t="s">
        <v>12</v>
      </c>
      <c r="H30" s="8">
        <v>46252</v>
      </c>
      <c r="I30" s="7">
        <v>20000</v>
      </c>
      <c r="J30" s="7">
        <v>19450</v>
      </c>
      <c r="K30" s="7">
        <v>550</v>
      </c>
      <c r="L30" s="6">
        <v>2.8000000000000001E-2</v>
      </c>
      <c r="M30" s="5">
        <f t="shared" si="0"/>
        <v>1.081804055781751E-2</v>
      </c>
    </row>
    <row r="31" spans="5:13" x14ac:dyDescent="0.3">
      <c r="E31" s="9">
        <v>32822</v>
      </c>
      <c r="F31" s="9" t="s">
        <v>171</v>
      </c>
      <c r="G31" s="9" t="s">
        <v>170</v>
      </c>
      <c r="H31" s="8">
        <v>46255</v>
      </c>
      <c r="I31" s="7">
        <v>16000</v>
      </c>
      <c r="J31" s="7">
        <v>15500</v>
      </c>
      <c r="K31" s="7">
        <v>500</v>
      </c>
      <c r="L31" s="6">
        <v>3.1E-2</v>
      </c>
      <c r="M31" s="5">
        <f t="shared" si="0"/>
        <v>9.8345823252886447E-3</v>
      </c>
    </row>
    <row r="32" spans="5:13" x14ac:dyDescent="0.3">
      <c r="E32" s="9">
        <v>32946</v>
      </c>
      <c r="F32" s="9" t="s">
        <v>47</v>
      </c>
      <c r="G32" s="9" t="s">
        <v>30</v>
      </c>
      <c r="H32" s="8">
        <v>46252</v>
      </c>
      <c r="I32" s="7">
        <v>9000</v>
      </c>
      <c r="J32" s="7">
        <v>8504</v>
      </c>
      <c r="K32" s="7">
        <v>496</v>
      </c>
      <c r="L32" s="6">
        <v>5.5E-2</v>
      </c>
      <c r="M32" s="5">
        <f t="shared" si="0"/>
        <v>9.7559056666863351E-3</v>
      </c>
    </row>
    <row r="33" spans="5:13" x14ac:dyDescent="0.3">
      <c r="E33" s="9">
        <v>32899</v>
      </c>
      <c r="F33" s="9" t="s">
        <v>81</v>
      </c>
      <c r="G33" s="9" t="s">
        <v>14</v>
      </c>
      <c r="H33" s="8">
        <v>46248</v>
      </c>
      <c r="I33" s="7">
        <v>11400</v>
      </c>
      <c r="J33" s="7">
        <v>10910</v>
      </c>
      <c r="K33" s="7">
        <v>490</v>
      </c>
      <c r="L33" s="6">
        <v>4.2999999999999997E-2</v>
      </c>
      <c r="M33" s="5">
        <f t="shared" si="0"/>
        <v>9.6378906787828716E-3</v>
      </c>
    </row>
    <row r="34" spans="5:13" x14ac:dyDescent="0.3">
      <c r="E34" s="9">
        <v>32945</v>
      </c>
      <c r="F34" s="9" t="s">
        <v>169</v>
      </c>
      <c r="G34" s="9" t="s">
        <v>30</v>
      </c>
      <c r="H34" s="8">
        <v>46252</v>
      </c>
      <c r="I34" s="7">
        <v>9000</v>
      </c>
      <c r="J34" s="7">
        <v>8514</v>
      </c>
      <c r="K34" s="7">
        <v>486</v>
      </c>
      <c r="L34" s="6">
        <v>5.3999999999999999E-2</v>
      </c>
      <c r="M34" s="5">
        <f t="shared" ref="M34:M65" si="1">K34/$B$8</f>
        <v>9.5592140201805637E-3</v>
      </c>
    </row>
    <row r="35" spans="5:13" x14ac:dyDescent="0.3">
      <c r="E35" s="9">
        <v>32936</v>
      </c>
      <c r="F35" s="9" t="s">
        <v>78</v>
      </c>
      <c r="G35" s="9" t="s">
        <v>30</v>
      </c>
      <c r="H35" s="8">
        <v>46248</v>
      </c>
      <c r="I35" s="7">
        <v>5400</v>
      </c>
      <c r="J35" s="7">
        <v>4936</v>
      </c>
      <c r="K35" s="7">
        <v>464</v>
      </c>
      <c r="L35" s="6">
        <v>8.5999999999999993E-2</v>
      </c>
      <c r="M35" s="5">
        <f t="shared" si="1"/>
        <v>9.1264923978678619E-3</v>
      </c>
    </row>
    <row r="36" spans="5:13" x14ac:dyDescent="0.3">
      <c r="E36" s="9">
        <v>32733</v>
      </c>
      <c r="F36" s="9" t="s">
        <v>88</v>
      </c>
      <c r="G36" s="9" t="s">
        <v>12</v>
      </c>
      <c r="H36" s="8">
        <v>46252</v>
      </c>
      <c r="I36" s="7">
        <v>14000</v>
      </c>
      <c r="J36" s="7">
        <v>13600</v>
      </c>
      <c r="K36" s="7">
        <v>400</v>
      </c>
      <c r="L36" s="6">
        <v>2.9000000000000001E-2</v>
      </c>
      <c r="M36" s="5">
        <f t="shared" si="1"/>
        <v>7.8676658602309154E-3</v>
      </c>
    </row>
    <row r="37" spans="5:13" x14ac:dyDescent="0.3">
      <c r="E37" s="9">
        <v>32841</v>
      </c>
      <c r="F37" s="9" t="s">
        <v>130</v>
      </c>
      <c r="G37" s="9" t="s">
        <v>79</v>
      </c>
      <c r="H37" s="8">
        <v>46252</v>
      </c>
      <c r="I37" s="7">
        <v>8750</v>
      </c>
      <c r="J37" s="7">
        <v>8400</v>
      </c>
      <c r="K37" s="7">
        <v>350</v>
      </c>
      <c r="L37" s="6">
        <v>0.04</v>
      </c>
      <c r="M37" s="5">
        <f t="shared" si="1"/>
        <v>6.8842076277020516E-3</v>
      </c>
    </row>
    <row r="38" spans="5:13" x14ac:dyDescent="0.3">
      <c r="E38" s="9">
        <v>32849</v>
      </c>
      <c r="F38" s="9" t="s">
        <v>130</v>
      </c>
      <c r="G38" s="9" t="s">
        <v>79</v>
      </c>
      <c r="H38" s="8">
        <v>46253</v>
      </c>
      <c r="I38" s="7">
        <v>8750</v>
      </c>
      <c r="J38" s="7">
        <v>8425</v>
      </c>
      <c r="K38" s="7">
        <v>325</v>
      </c>
      <c r="L38" s="6">
        <v>3.6999999999999998E-2</v>
      </c>
      <c r="M38" s="5">
        <f t="shared" si="1"/>
        <v>6.3924785114376189E-3</v>
      </c>
    </row>
    <row r="39" spans="5:13" x14ac:dyDescent="0.3">
      <c r="E39" s="9">
        <v>32944</v>
      </c>
      <c r="F39" s="9" t="s">
        <v>15</v>
      </c>
      <c r="G39" s="9" t="s">
        <v>14</v>
      </c>
      <c r="H39" s="8">
        <v>46252</v>
      </c>
      <c r="I39" s="7">
        <v>21600</v>
      </c>
      <c r="J39" s="7">
        <v>21277</v>
      </c>
      <c r="K39" s="7">
        <v>323</v>
      </c>
      <c r="L39" s="6">
        <v>1.4999999999999999E-2</v>
      </c>
      <c r="M39" s="5">
        <f t="shared" si="1"/>
        <v>6.3531401821364649E-3</v>
      </c>
    </row>
    <row r="40" spans="5:13" x14ac:dyDescent="0.3">
      <c r="E40" s="9">
        <v>32941</v>
      </c>
      <c r="F40" s="9" t="s">
        <v>168</v>
      </c>
      <c r="G40" s="9" t="s">
        <v>166</v>
      </c>
      <c r="H40" s="8">
        <v>46255</v>
      </c>
      <c r="I40" s="7">
        <v>25200</v>
      </c>
      <c r="J40" s="7">
        <v>24882</v>
      </c>
      <c r="K40" s="7">
        <v>318</v>
      </c>
      <c r="L40" s="6">
        <v>1.2999999999999999E-2</v>
      </c>
      <c r="M40" s="5">
        <f t="shared" si="1"/>
        <v>6.2547943588835784E-3</v>
      </c>
    </row>
    <row r="41" spans="5:13" x14ac:dyDescent="0.3">
      <c r="E41" s="9">
        <v>32942</v>
      </c>
      <c r="F41" s="9" t="s">
        <v>167</v>
      </c>
      <c r="G41" s="9" t="s">
        <v>166</v>
      </c>
      <c r="H41" s="8">
        <v>46255</v>
      </c>
      <c r="I41" s="7">
        <v>18000</v>
      </c>
      <c r="J41" s="7">
        <v>17697</v>
      </c>
      <c r="K41" s="7">
        <v>303</v>
      </c>
      <c r="L41" s="6">
        <v>1.7000000000000001E-2</v>
      </c>
      <c r="M41" s="5">
        <f t="shared" si="1"/>
        <v>5.9597568891249187E-3</v>
      </c>
    </row>
    <row r="42" spans="5:13" x14ac:dyDescent="0.3">
      <c r="E42" s="9">
        <v>32951</v>
      </c>
      <c r="F42" s="9" t="s">
        <v>165</v>
      </c>
      <c r="G42" s="9" t="s">
        <v>79</v>
      </c>
      <c r="H42" s="8">
        <v>46254</v>
      </c>
      <c r="I42" s="7">
        <v>12600</v>
      </c>
      <c r="J42" s="7">
        <v>12304</v>
      </c>
      <c r="K42" s="7">
        <v>296</v>
      </c>
      <c r="L42" s="6">
        <v>2.3E-2</v>
      </c>
      <c r="M42" s="5">
        <f t="shared" si="1"/>
        <v>5.8220727365708783E-3</v>
      </c>
    </row>
    <row r="43" spans="5:13" x14ac:dyDescent="0.3">
      <c r="E43" s="9">
        <v>32919</v>
      </c>
      <c r="F43" s="9" t="s">
        <v>75</v>
      </c>
      <c r="G43" s="9" t="s">
        <v>14</v>
      </c>
      <c r="H43" s="8">
        <v>46248</v>
      </c>
      <c r="I43" s="7">
        <v>17100</v>
      </c>
      <c r="J43" s="7">
        <v>16809</v>
      </c>
      <c r="K43" s="7">
        <v>291</v>
      </c>
      <c r="L43" s="6">
        <v>1.7000000000000001E-2</v>
      </c>
      <c r="M43" s="5">
        <f t="shared" si="1"/>
        <v>5.7237269133179917E-3</v>
      </c>
    </row>
    <row r="44" spans="5:13" x14ac:dyDescent="0.3">
      <c r="E44" s="9">
        <v>32976</v>
      </c>
      <c r="F44" s="9" t="s">
        <v>164</v>
      </c>
      <c r="G44" s="9" t="s">
        <v>163</v>
      </c>
      <c r="H44" s="8">
        <v>46253</v>
      </c>
      <c r="I44" s="7">
        <v>3200</v>
      </c>
      <c r="J44" s="7">
        <v>2926</v>
      </c>
      <c r="K44" s="7">
        <v>274</v>
      </c>
      <c r="L44" s="6">
        <v>8.5999999999999993E-2</v>
      </c>
      <c r="M44" s="5">
        <f t="shared" si="1"/>
        <v>5.3893511142581773E-3</v>
      </c>
    </row>
    <row r="45" spans="5:13" x14ac:dyDescent="0.3">
      <c r="E45" s="9">
        <v>32840</v>
      </c>
      <c r="F45" s="9" t="s">
        <v>130</v>
      </c>
      <c r="G45" s="9" t="s">
        <v>79</v>
      </c>
      <c r="H45" s="8">
        <v>46252</v>
      </c>
      <c r="I45" s="7">
        <v>8750</v>
      </c>
      <c r="J45" s="7">
        <v>8480</v>
      </c>
      <c r="K45" s="7">
        <v>270</v>
      </c>
      <c r="L45" s="6">
        <v>3.1E-2</v>
      </c>
      <c r="M45" s="5">
        <f t="shared" si="1"/>
        <v>5.3106744556558685E-3</v>
      </c>
    </row>
    <row r="46" spans="5:13" x14ac:dyDescent="0.3">
      <c r="E46" s="9">
        <v>32843</v>
      </c>
      <c r="F46" s="9" t="s">
        <v>130</v>
      </c>
      <c r="G46" s="9" t="s">
        <v>79</v>
      </c>
      <c r="H46" s="8">
        <v>46252</v>
      </c>
      <c r="I46" s="7">
        <v>8750</v>
      </c>
      <c r="J46" s="7">
        <v>8511</v>
      </c>
      <c r="K46" s="7">
        <v>239</v>
      </c>
      <c r="L46" s="6">
        <v>2.7E-2</v>
      </c>
      <c r="M46" s="5">
        <f t="shared" si="1"/>
        <v>4.7009303514879723E-3</v>
      </c>
    </row>
    <row r="47" spans="5:13" x14ac:dyDescent="0.3">
      <c r="E47" s="9">
        <v>32905</v>
      </c>
      <c r="F47" s="9" t="s">
        <v>69</v>
      </c>
      <c r="G47" s="9" t="s">
        <v>30</v>
      </c>
      <c r="H47" s="8">
        <v>46248</v>
      </c>
      <c r="I47" s="7">
        <v>7600</v>
      </c>
      <c r="J47" s="7">
        <v>7374</v>
      </c>
      <c r="K47" s="7">
        <v>226</v>
      </c>
      <c r="L47" s="6">
        <v>0.03</v>
      </c>
      <c r="M47" s="5">
        <f t="shared" si="1"/>
        <v>4.4452312110304674E-3</v>
      </c>
    </row>
    <row r="48" spans="5:13" x14ac:dyDescent="0.3">
      <c r="E48" s="9">
        <v>32817</v>
      </c>
      <c r="F48" s="9" t="s">
        <v>66</v>
      </c>
      <c r="G48" s="9" t="s">
        <v>45</v>
      </c>
      <c r="H48" s="8">
        <v>46248</v>
      </c>
      <c r="I48" s="7">
        <v>1600</v>
      </c>
      <c r="J48" s="7">
        <v>1388</v>
      </c>
      <c r="K48" s="7">
        <v>212</v>
      </c>
      <c r="L48" s="6">
        <v>0.13300000000000001</v>
      </c>
      <c r="M48" s="5">
        <f t="shared" si="1"/>
        <v>4.1698629059223856E-3</v>
      </c>
    </row>
    <row r="49" spans="5:13" x14ac:dyDescent="0.3">
      <c r="E49" s="9">
        <v>32842</v>
      </c>
      <c r="F49" s="9" t="s">
        <v>130</v>
      </c>
      <c r="G49" s="9" t="s">
        <v>79</v>
      </c>
      <c r="H49" s="8">
        <v>46252</v>
      </c>
      <c r="I49" s="7">
        <v>8750</v>
      </c>
      <c r="J49" s="7">
        <v>8543</v>
      </c>
      <c r="K49" s="7">
        <v>207</v>
      </c>
      <c r="L49" s="6">
        <v>2.4E-2</v>
      </c>
      <c r="M49" s="5">
        <f t="shared" si="1"/>
        <v>4.071517082669499E-3</v>
      </c>
    </row>
    <row r="50" spans="5:13" x14ac:dyDescent="0.3">
      <c r="E50" s="9">
        <v>32985</v>
      </c>
      <c r="F50" s="9" t="s">
        <v>162</v>
      </c>
      <c r="G50" s="9" t="s">
        <v>122</v>
      </c>
      <c r="H50" s="8">
        <v>46255</v>
      </c>
      <c r="I50" s="7">
        <v>2100</v>
      </c>
      <c r="J50" s="7">
        <v>1899</v>
      </c>
      <c r="K50" s="7">
        <v>201</v>
      </c>
      <c r="L50" s="6">
        <v>9.6000000000000002E-2</v>
      </c>
      <c r="M50" s="5">
        <f t="shared" si="1"/>
        <v>3.9535020947660355E-3</v>
      </c>
    </row>
    <row r="51" spans="5:13" x14ac:dyDescent="0.3">
      <c r="E51" s="9">
        <v>32933</v>
      </c>
      <c r="F51" s="9" t="s">
        <v>161</v>
      </c>
      <c r="G51" s="9" t="s">
        <v>12</v>
      </c>
      <c r="H51" s="8">
        <v>46253</v>
      </c>
      <c r="I51" s="7">
        <v>4000</v>
      </c>
      <c r="J51" s="7">
        <v>3810</v>
      </c>
      <c r="K51" s="7">
        <v>190</v>
      </c>
      <c r="L51" s="6">
        <v>4.8000000000000001E-2</v>
      </c>
      <c r="M51" s="5">
        <f t="shared" si="1"/>
        <v>3.737141283609685E-3</v>
      </c>
    </row>
    <row r="52" spans="5:13" x14ac:dyDescent="0.3">
      <c r="E52" s="9">
        <v>32846</v>
      </c>
      <c r="F52" s="9" t="s">
        <v>130</v>
      </c>
      <c r="G52" s="9" t="s">
        <v>79</v>
      </c>
      <c r="H52" s="8">
        <v>46253</v>
      </c>
      <c r="I52" s="7">
        <v>8750</v>
      </c>
      <c r="J52" s="7">
        <v>8568</v>
      </c>
      <c r="K52" s="7">
        <v>182</v>
      </c>
      <c r="L52" s="6">
        <v>2.1000000000000001E-2</v>
      </c>
      <c r="M52" s="5">
        <f t="shared" si="1"/>
        <v>3.5797879664050667E-3</v>
      </c>
    </row>
    <row r="53" spans="5:13" x14ac:dyDescent="0.3">
      <c r="E53" s="9">
        <v>32924</v>
      </c>
      <c r="F53" s="9" t="s">
        <v>60</v>
      </c>
      <c r="G53" s="9" t="s">
        <v>59</v>
      </c>
      <c r="H53" s="8">
        <v>46248</v>
      </c>
      <c r="I53" s="7">
        <v>7600</v>
      </c>
      <c r="J53" s="7">
        <v>7425</v>
      </c>
      <c r="K53" s="7">
        <v>175</v>
      </c>
      <c r="L53" s="6">
        <v>2.3E-2</v>
      </c>
      <c r="M53" s="5">
        <f t="shared" si="1"/>
        <v>3.4421038138510258E-3</v>
      </c>
    </row>
    <row r="54" spans="5:13" x14ac:dyDescent="0.3">
      <c r="E54" s="9">
        <v>32845</v>
      </c>
      <c r="F54" s="9" t="s">
        <v>130</v>
      </c>
      <c r="G54" s="9" t="s">
        <v>79</v>
      </c>
      <c r="H54" s="8">
        <v>46253</v>
      </c>
      <c r="I54" s="7">
        <v>8750</v>
      </c>
      <c r="J54" s="7">
        <v>8610</v>
      </c>
      <c r="K54" s="7">
        <v>140</v>
      </c>
      <c r="L54" s="6">
        <v>1.6E-2</v>
      </c>
      <c r="M54" s="5">
        <f t="shared" si="1"/>
        <v>2.7536830510808204E-3</v>
      </c>
    </row>
    <row r="55" spans="5:13" x14ac:dyDescent="0.3">
      <c r="E55" s="9">
        <v>32847</v>
      </c>
      <c r="F55" s="9" t="s">
        <v>130</v>
      </c>
      <c r="G55" s="9" t="s">
        <v>79</v>
      </c>
      <c r="H55" s="8">
        <v>46253</v>
      </c>
      <c r="I55" s="7">
        <v>8750</v>
      </c>
      <c r="J55" s="7">
        <v>8618</v>
      </c>
      <c r="K55" s="7">
        <v>132</v>
      </c>
      <c r="L55" s="6">
        <v>1.4999999999999999E-2</v>
      </c>
      <c r="M55" s="5">
        <f t="shared" si="1"/>
        <v>2.5963297338762021E-3</v>
      </c>
    </row>
    <row r="56" spans="5:13" x14ac:dyDescent="0.3">
      <c r="E56" s="9">
        <v>32947</v>
      </c>
      <c r="F56" s="9" t="s">
        <v>31</v>
      </c>
      <c r="G56" s="9" t="s">
        <v>30</v>
      </c>
      <c r="H56" s="8">
        <v>46252</v>
      </c>
      <c r="I56" s="7">
        <v>5400</v>
      </c>
      <c r="J56" s="7">
        <v>5280</v>
      </c>
      <c r="K56" s="7">
        <v>120</v>
      </c>
      <c r="L56" s="6">
        <v>2.1999999999999999E-2</v>
      </c>
      <c r="M56" s="5">
        <f t="shared" si="1"/>
        <v>2.3602997580692746E-3</v>
      </c>
    </row>
    <row r="57" spans="5:13" x14ac:dyDescent="0.3">
      <c r="E57" s="9">
        <v>32948</v>
      </c>
      <c r="F57" s="9" t="s">
        <v>160</v>
      </c>
      <c r="G57" s="9" t="s">
        <v>30</v>
      </c>
      <c r="H57" s="8">
        <v>46253</v>
      </c>
      <c r="I57" s="7">
        <v>5700</v>
      </c>
      <c r="J57" s="7">
        <v>5581</v>
      </c>
      <c r="K57" s="7">
        <v>119</v>
      </c>
      <c r="L57" s="6">
        <v>2.1000000000000001E-2</v>
      </c>
      <c r="M57" s="5">
        <f t="shared" si="1"/>
        <v>2.3406305934186977E-3</v>
      </c>
    </row>
    <row r="58" spans="5:13" x14ac:dyDescent="0.3">
      <c r="E58" s="9">
        <v>32987</v>
      </c>
      <c r="F58" s="9" t="s">
        <v>159</v>
      </c>
      <c r="G58" s="9" t="s">
        <v>122</v>
      </c>
      <c r="H58" s="8">
        <v>46254</v>
      </c>
      <c r="I58" s="7">
        <v>3800</v>
      </c>
      <c r="J58" s="7">
        <v>3690</v>
      </c>
      <c r="K58" s="7">
        <v>110</v>
      </c>
      <c r="L58" s="6">
        <v>2.9000000000000001E-2</v>
      </c>
      <c r="M58" s="5">
        <f t="shared" si="1"/>
        <v>2.163608111563502E-3</v>
      </c>
    </row>
    <row r="59" spans="5:13" x14ac:dyDescent="0.3">
      <c r="E59" s="9">
        <v>32955</v>
      </c>
      <c r="F59" s="9" t="s">
        <v>158</v>
      </c>
      <c r="G59" s="9" t="s">
        <v>157</v>
      </c>
      <c r="H59" s="8">
        <v>46254</v>
      </c>
      <c r="I59" s="7">
        <v>3800</v>
      </c>
      <c r="J59" s="7">
        <v>3695</v>
      </c>
      <c r="K59" s="7">
        <v>105</v>
      </c>
      <c r="L59" s="6">
        <v>2.8000000000000001E-2</v>
      </c>
      <c r="M59" s="5">
        <f t="shared" si="1"/>
        <v>2.0652622883106154E-3</v>
      </c>
    </row>
    <row r="60" spans="5:13" x14ac:dyDescent="0.3">
      <c r="E60" s="9">
        <v>32926</v>
      </c>
      <c r="F60" s="9" t="s">
        <v>156</v>
      </c>
      <c r="G60" s="9" t="s">
        <v>150</v>
      </c>
      <c r="H60" s="8">
        <v>46251</v>
      </c>
      <c r="I60" s="7">
        <v>1900</v>
      </c>
      <c r="J60" s="7">
        <v>1805</v>
      </c>
      <c r="K60" s="7">
        <v>95</v>
      </c>
      <c r="L60" s="6">
        <v>0.05</v>
      </c>
      <c r="M60" s="5">
        <f t="shared" si="1"/>
        <v>1.8685706418048425E-3</v>
      </c>
    </row>
    <row r="61" spans="5:13" x14ac:dyDescent="0.3">
      <c r="E61" s="9">
        <v>32915</v>
      </c>
      <c r="F61" s="9" t="s">
        <v>44</v>
      </c>
      <c r="G61" s="9" t="s">
        <v>36</v>
      </c>
      <c r="H61" s="8">
        <v>46248</v>
      </c>
      <c r="I61" s="7">
        <v>3800</v>
      </c>
      <c r="J61" s="7">
        <v>3717</v>
      </c>
      <c r="K61" s="7">
        <v>83</v>
      </c>
      <c r="L61" s="6">
        <v>2.1999999999999999E-2</v>
      </c>
      <c r="M61" s="5">
        <f t="shared" si="1"/>
        <v>1.6325406659979151E-3</v>
      </c>
    </row>
    <row r="62" spans="5:13" x14ac:dyDescent="0.3">
      <c r="E62" s="9">
        <v>33014</v>
      </c>
      <c r="F62" s="9" t="s">
        <v>155</v>
      </c>
      <c r="G62" s="9" t="s">
        <v>26</v>
      </c>
      <c r="H62" s="8">
        <v>46255</v>
      </c>
      <c r="I62" s="7">
        <v>3800</v>
      </c>
      <c r="J62" s="7">
        <v>3717</v>
      </c>
      <c r="K62" s="7">
        <v>83</v>
      </c>
      <c r="L62" s="6">
        <v>2.1999999999999999E-2</v>
      </c>
      <c r="M62" s="5">
        <f t="shared" si="1"/>
        <v>1.6325406659979151E-3</v>
      </c>
    </row>
    <row r="63" spans="5:13" x14ac:dyDescent="0.3">
      <c r="E63" s="9">
        <v>32912</v>
      </c>
      <c r="F63" s="9" t="s">
        <v>146</v>
      </c>
      <c r="G63" s="9" t="s">
        <v>154</v>
      </c>
      <c r="H63" s="8">
        <v>46251</v>
      </c>
      <c r="I63" s="7">
        <v>3300</v>
      </c>
      <c r="J63" s="7">
        <v>3225</v>
      </c>
      <c r="K63" s="7">
        <v>75</v>
      </c>
      <c r="L63" s="6">
        <v>2.3E-2</v>
      </c>
      <c r="M63" s="5">
        <f t="shared" si="1"/>
        <v>1.4751873487932967E-3</v>
      </c>
    </row>
    <row r="64" spans="5:13" x14ac:dyDescent="0.3">
      <c r="E64" s="9">
        <v>32952</v>
      </c>
      <c r="F64" s="9" t="s">
        <v>153</v>
      </c>
      <c r="G64" s="9" t="s">
        <v>45</v>
      </c>
      <c r="H64" s="8">
        <v>46253</v>
      </c>
      <c r="I64" s="7">
        <v>2000</v>
      </c>
      <c r="J64" s="7">
        <v>1928</v>
      </c>
      <c r="K64" s="7">
        <v>72</v>
      </c>
      <c r="L64" s="6">
        <v>3.5999999999999997E-2</v>
      </c>
      <c r="M64" s="5">
        <f t="shared" si="1"/>
        <v>1.4161798548415648E-3</v>
      </c>
    </row>
    <row r="65" spans="5:13" x14ac:dyDescent="0.3">
      <c r="E65" s="9">
        <v>32918</v>
      </c>
      <c r="F65" s="9" t="s">
        <v>152</v>
      </c>
      <c r="G65" s="9" t="s">
        <v>0</v>
      </c>
      <c r="H65" s="8">
        <v>46251</v>
      </c>
      <c r="I65" s="7">
        <v>2800</v>
      </c>
      <c r="J65" s="7">
        <v>2731</v>
      </c>
      <c r="K65" s="7">
        <v>69</v>
      </c>
      <c r="L65" s="6">
        <v>2.5000000000000001E-2</v>
      </c>
      <c r="M65" s="5">
        <f t="shared" si="1"/>
        <v>1.357172360889833E-3</v>
      </c>
    </row>
    <row r="66" spans="5:13" x14ac:dyDescent="0.3">
      <c r="E66" s="9">
        <v>32927</v>
      </c>
      <c r="F66" s="9" t="s">
        <v>151</v>
      </c>
      <c r="G66" s="9" t="s">
        <v>150</v>
      </c>
      <c r="H66" s="8">
        <v>46251</v>
      </c>
      <c r="I66" s="7">
        <v>1900</v>
      </c>
      <c r="J66" s="7">
        <v>1836</v>
      </c>
      <c r="K66" s="7">
        <v>64</v>
      </c>
      <c r="L66" s="6">
        <v>3.4000000000000002E-2</v>
      </c>
      <c r="M66" s="5">
        <f t="shared" ref="M66:M97" si="2">K66/$B$8</f>
        <v>1.2588265376369465E-3</v>
      </c>
    </row>
    <row r="67" spans="5:13" x14ac:dyDescent="0.3">
      <c r="E67" s="9">
        <v>32916</v>
      </c>
      <c r="F67" s="9" t="s">
        <v>149</v>
      </c>
      <c r="G67" s="9" t="s">
        <v>36</v>
      </c>
      <c r="H67" s="8">
        <v>46251</v>
      </c>
      <c r="I67" s="7">
        <v>2120</v>
      </c>
      <c r="J67" s="7">
        <v>2058</v>
      </c>
      <c r="K67" s="7">
        <v>62</v>
      </c>
      <c r="L67" s="6">
        <v>2.9000000000000001E-2</v>
      </c>
      <c r="M67" s="5">
        <f t="shared" si="2"/>
        <v>1.2194882083357919E-3</v>
      </c>
    </row>
    <row r="68" spans="5:13" x14ac:dyDescent="0.3">
      <c r="E68" s="9">
        <v>32958</v>
      </c>
      <c r="F68" s="9" t="s">
        <v>148</v>
      </c>
      <c r="G68" s="9" t="s">
        <v>147</v>
      </c>
      <c r="H68" s="8">
        <v>46253</v>
      </c>
      <c r="I68" s="7">
        <v>2200</v>
      </c>
      <c r="J68" s="7">
        <v>2142</v>
      </c>
      <c r="K68" s="7">
        <v>58</v>
      </c>
      <c r="L68" s="6">
        <v>2.5999999999999999E-2</v>
      </c>
      <c r="M68" s="5">
        <f t="shared" si="2"/>
        <v>1.1408115497334827E-3</v>
      </c>
    </row>
    <row r="69" spans="5:13" x14ac:dyDescent="0.3">
      <c r="E69" s="9">
        <v>32844</v>
      </c>
      <c r="F69" s="9" t="s">
        <v>130</v>
      </c>
      <c r="G69" s="9" t="s">
        <v>79</v>
      </c>
      <c r="H69" s="8">
        <v>46252</v>
      </c>
      <c r="I69" s="7">
        <v>8750</v>
      </c>
      <c r="J69" s="7">
        <v>8694</v>
      </c>
      <c r="K69" s="7">
        <v>56</v>
      </c>
      <c r="L69" s="6">
        <v>6.0000000000000001E-3</v>
      </c>
      <c r="M69" s="5">
        <f t="shared" si="2"/>
        <v>1.1014732204323282E-3</v>
      </c>
    </row>
    <row r="70" spans="5:13" x14ac:dyDescent="0.3">
      <c r="E70" s="9">
        <v>33005</v>
      </c>
      <c r="F70" s="9" t="s">
        <v>146</v>
      </c>
      <c r="G70" s="9" t="s">
        <v>145</v>
      </c>
      <c r="H70" s="8">
        <v>46255</v>
      </c>
      <c r="I70" s="7">
        <v>3300</v>
      </c>
      <c r="J70" s="7">
        <v>3244</v>
      </c>
      <c r="K70" s="7">
        <v>56</v>
      </c>
      <c r="L70" s="6">
        <v>1.7000000000000001E-2</v>
      </c>
      <c r="M70" s="5">
        <f t="shared" si="2"/>
        <v>1.1014732204323282E-3</v>
      </c>
    </row>
    <row r="71" spans="5:13" x14ac:dyDescent="0.3">
      <c r="E71" s="9">
        <v>32954</v>
      </c>
      <c r="F71" s="9" t="s">
        <v>144</v>
      </c>
      <c r="G71" s="9" t="s">
        <v>45</v>
      </c>
      <c r="H71" s="8">
        <v>46254</v>
      </c>
      <c r="I71" s="7">
        <v>2100</v>
      </c>
      <c r="J71" s="7">
        <v>2053</v>
      </c>
      <c r="K71" s="7">
        <v>47</v>
      </c>
      <c r="L71" s="6">
        <v>2.1999999999999999E-2</v>
      </c>
      <c r="M71" s="5">
        <f t="shared" si="2"/>
        <v>9.2445073857713267E-4</v>
      </c>
    </row>
    <row r="72" spans="5:13" x14ac:dyDescent="0.3">
      <c r="E72" s="9">
        <v>32943</v>
      </c>
      <c r="F72" s="9" t="s">
        <v>143</v>
      </c>
      <c r="G72" s="9" t="s">
        <v>142</v>
      </c>
      <c r="H72" s="8">
        <v>46254</v>
      </c>
      <c r="I72" s="7">
        <v>2400</v>
      </c>
      <c r="J72" s="7">
        <v>2355</v>
      </c>
      <c r="K72" s="7">
        <v>45</v>
      </c>
      <c r="L72" s="6">
        <v>1.9E-2</v>
      </c>
      <c r="M72" s="5">
        <f t="shared" si="2"/>
        <v>8.8511240927597809E-4</v>
      </c>
    </row>
    <row r="73" spans="5:13" x14ac:dyDescent="0.3">
      <c r="E73" s="9">
        <v>32979</v>
      </c>
      <c r="F73" s="9" t="s">
        <v>141</v>
      </c>
      <c r="G73" s="9" t="s">
        <v>2</v>
      </c>
      <c r="H73" s="8">
        <v>46254</v>
      </c>
      <c r="I73" s="7">
        <v>1600</v>
      </c>
      <c r="J73" s="7">
        <v>1555</v>
      </c>
      <c r="K73" s="7">
        <v>45</v>
      </c>
      <c r="L73" s="6">
        <v>2.8000000000000001E-2</v>
      </c>
      <c r="M73" s="5">
        <f t="shared" si="2"/>
        <v>8.8511240927597809E-4</v>
      </c>
    </row>
    <row r="74" spans="5:13" x14ac:dyDescent="0.3">
      <c r="E74" s="9">
        <v>32981</v>
      </c>
      <c r="F74" s="9" t="s">
        <v>140</v>
      </c>
      <c r="G74" s="9" t="s">
        <v>139</v>
      </c>
      <c r="H74" s="8">
        <v>46254</v>
      </c>
      <c r="I74" s="7">
        <v>1200</v>
      </c>
      <c r="J74" s="7">
        <v>1161</v>
      </c>
      <c r="K74" s="7">
        <v>39</v>
      </c>
      <c r="L74" s="6">
        <v>3.3000000000000002E-2</v>
      </c>
      <c r="M74" s="5">
        <f t="shared" si="2"/>
        <v>7.6709742137251436E-4</v>
      </c>
    </row>
    <row r="75" spans="5:13" x14ac:dyDescent="0.3">
      <c r="E75" s="9">
        <v>32925</v>
      </c>
      <c r="F75" s="9" t="s">
        <v>138</v>
      </c>
      <c r="G75" s="9" t="s">
        <v>136</v>
      </c>
      <c r="H75" s="8">
        <v>46251</v>
      </c>
      <c r="I75" s="7">
        <v>2200</v>
      </c>
      <c r="J75" s="7">
        <v>2162</v>
      </c>
      <c r="K75" s="7">
        <v>38</v>
      </c>
      <c r="L75" s="6">
        <v>1.7000000000000001E-2</v>
      </c>
      <c r="M75" s="5">
        <f t="shared" si="2"/>
        <v>7.4742825672193707E-4</v>
      </c>
    </row>
    <row r="76" spans="5:13" x14ac:dyDescent="0.3">
      <c r="E76" s="9">
        <v>32914</v>
      </c>
      <c r="F76" s="9" t="s">
        <v>38</v>
      </c>
      <c r="G76" s="9" t="s">
        <v>36</v>
      </c>
      <c r="H76" s="8">
        <v>46248</v>
      </c>
      <c r="I76" s="7">
        <v>1900</v>
      </c>
      <c r="J76" s="7">
        <v>1865</v>
      </c>
      <c r="K76" s="7">
        <v>35</v>
      </c>
      <c r="L76" s="6">
        <v>1.7999999999999999E-2</v>
      </c>
      <c r="M76" s="5">
        <f t="shared" si="2"/>
        <v>6.884207627702051E-4</v>
      </c>
    </row>
    <row r="77" spans="5:13" x14ac:dyDescent="0.3">
      <c r="E77" s="9">
        <v>32917</v>
      </c>
      <c r="F77" s="9" t="s">
        <v>37</v>
      </c>
      <c r="G77" s="9" t="s">
        <v>36</v>
      </c>
      <c r="H77" s="8">
        <v>46248</v>
      </c>
      <c r="I77" s="7">
        <v>2200</v>
      </c>
      <c r="J77" s="7">
        <v>2166</v>
      </c>
      <c r="K77" s="7">
        <v>34</v>
      </c>
      <c r="L77" s="6">
        <v>1.4999999999999999E-2</v>
      </c>
      <c r="M77" s="5">
        <f t="shared" si="2"/>
        <v>6.6875159811962781E-4</v>
      </c>
    </row>
    <row r="78" spans="5:13" x14ac:dyDescent="0.3">
      <c r="E78" s="9">
        <v>32983</v>
      </c>
      <c r="F78" s="9" t="s">
        <v>137</v>
      </c>
      <c r="G78" s="9" t="s">
        <v>136</v>
      </c>
      <c r="H78" s="8">
        <v>46254</v>
      </c>
      <c r="I78" s="7">
        <v>2200</v>
      </c>
      <c r="J78" s="7">
        <v>2170</v>
      </c>
      <c r="K78" s="7">
        <v>30</v>
      </c>
      <c r="L78" s="6">
        <v>1.4E-2</v>
      </c>
      <c r="M78" s="5">
        <f t="shared" si="2"/>
        <v>5.9007493951731865E-4</v>
      </c>
    </row>
    <row r="79" spans="5:13" x14ac:dyDescent="0.3">
      <c r="E79" s="9">
        <v>32986</v>
      </c>
      <c r="F79" s="9" t="s">
        <v>132</v>
      </c>
      <c r="G79" s="9" t="s">
        <v>24</v>
      </c>
      <c r="H79" s="8">
        <v>46254</v>
      </c>
      <c r="I79" s="7">
        <v>1200</v>
      </c>
      <c r="J79" s="7">
        <v>1170</v>
      </c>
      <c r="K79" s="7">
        <v>30</v>
      </c>
      <c r="L79" s="6">
        <v>2.5000000000000001E-2</v>
      </c>
      <c r="M79" s="5">
        <f t="shared" si="2"/>
        <v>5.9007493951731865E-4</v>
      </c>
    </row>
    <row r="80" spans="5:13" x14ac:dyDescent="0.3">
      <c r="E80" s="9">
        <v>32937</v>
      </c>
      <c r="F80" s="9" t="s">
        <v>13</v>
      </c>
      <c r="G80" s="9" t="s">
        <v>12</v>
      </c>
      <c r="H80" s="8">
        <v>46252</v>
      </c>
      <c r="I80" s="7">
        <v>1000</v>
      </c>
      <c r="J80" s="7">
        <v>974</v>
      </c>
      <c r="K80" s="7">
        <v>26</v>
      </c>
      <c r="L80" s="6">
        <v>2.5999999999999999E-2</v>
      </c>
      <c r="M80" s="5">
        <f t="shared" si="2"/>
        <v>5.113982809150095E-4</v>
      </c>
    </row>
    <row r="81" spans="5:13" x14ac:dyDescent="0.3">
      <c r="E81" s="9">
        <v>33003</v>
      </c>
      <c r="F81" s="9" t="s">
        <v>134</v>
      </c>
      <c r="G81" s="9" t="s">
        <v>135</v>
      </c>
      <c r="H81" s="8">
        <v>46255</v>
      </c>
      <c r="I81" s="7">
        <v>2200</v>
      </c>
      <c r="J81" s="7">
        <v>2183</v>
      </c>
      <c r="K81" s="7">
        <v>17</v>
      </c>
      <c r="L81" s="6">
        <v>8.0000000000000002E-3</v>
      </c>
      <c r="M81" s="5">
        <f t="shared" si="2"/>
        <v>3.343757990598139E-4</v>
      </c>
    </row>
    <row r="82" spans="5:13" x14ac:dyDescent="0.3">
      <c r="E82" s="9">
        <v>33015</v>
      </c>
      <c r="F82" s="9" t="s">
        <v>134</v>
      </c>
      <c r="G82" s="9" t="s">
        <v>133</v>
      </c>
      <c r="H82" s="8">
        <v>46255</v>
      </c>
      <c r="I82" s="7">
        <v>1100</v>
      </c>
      <c r="J82" s="7">
        <v>1086</v>
      </c>
      <c r="K82" s="7">
        <v>14</v>
      </c>
      <c r="L82" s="6">
        <v>1.2999999999999999E-2</v>
      </c>
      <c r="M82" s="5">
        <f t="shared" si="2"/>
        <v>2.7536830510808204E-4</v>
      </c>
    </row>
    <row r="83" spans="5:13" x14ac:dyDescent="0.3">
      <c r="E83" s="9">
        <v>32980</v>
      </c>
      <c r="F83" s="9" t="s">
        <v>132</v>
      </c>
      <c r="G83" s="9" t="s">
        <v>24</v>
      </c>
      <c r="H83" s="8">
        <v>46254</v>
      </c>
      <c r="I83" s="7">
        <v>2400</v>
      </c>
      <c r="J83" s="7">
        <v>2388</v>
      </c>
      <c r="K83" s="7">
        <v>12</v>
      </c>
      <c r="L83" s="6">
        <v>5.0000000000000001E-3</v>
      </c>
      <c r="M83" s="5">
        <f t="shared" si="2"/>
        <v>2.3602997580692749E-4</v>
      </c>
    </row>
    <row r="84" spans="5:13" x14ac:dyDescent="0.3">
      <c r="E84" s="9">
        <v>32953</v>
      </c>
      <c r="F84" s="9" t="s">
        <v>131</v>
      </c>
      <c r="G84" s="9" t="s">
        <v>45</v>
      </c>
      <c r="H84" s="8">
        <v>46253</v>
      </c>
      <c r="I84" s="7">
        <v>2000</v>
      </c>
      <c r="J84" s="7">
        <v>1996</v>
      </c>
      <c r="K84" s="7">
        <v>4</v>
      </c>
      <c r="L84" s="6">
        <v>2E-3</v>
      </c>
      <c r="M84" s="5">
        <f t="shared" si="2"/>
        <v>7.8676658602309154E-5</v>
      </c>
    </row>
    <row r="85" spans="5:13" x14ac:dyDescent="0.3">
      <c r="E85" s="9">
        <v>32824</v>
      </c>
      <c r="F85" s="9" t="s">
        <v>82</v>
      </c>
      <c r="G85" s="9" t="s">
        <v>12</v>
      </c>
      <c r="H85" s="8">
        <v>46253</v>
      </c>
      <c r="I85" s="7">
        <v>17600</v>
      </c>
      <c r="J85" s="7">
        <v>17650</v>
      </c>
      <c r="K85" s="7">
        <v>0</v>
      </c>
      <c r="L85" s="6">
        <v>0</v>
      </c>
      <c r="M85" s="5">
        <f t="shared" si="2"/>
        <v>0</v>
      </c>
    </row>
    <row r="86" spans="5:13" x14ac:dyDescent="0.3">
      <c r="E86" s="9">
        <v>32848</v>
      </c>
      <c r="F86" s="9" t="s">
        <v>130</v>
      </c>
      <c r="G86" s="9" t="s">
        <v>79</v>
      </c>
      <c r="H86" s="8">
        <v>46253</v>
      </c>
      <c r="I86" s="7">
        <v>8750</v>
      </c>
      <c r="J86" s="7">
        <v>8774</v>
      </c>
      <c r="K86" s="7">
        <v>0</v>
      </c>
      <c r="L86" s="6">
        <v>0</v>
      </c>
      <c r="M86" s="5">
        <f t="shared" si="2"/>
        <v>0</v>
      </c>
    </row>
    <row r="87" spans="5:13" x14ac:dyDescent="0.3">
      <c r="E87" s="9">
        <v>32913</v>
      </c>
      <c r="F87" s="9" t="s">
        <v>6</v>
      </c>
      <c r="G87" s="9" t="s">
        <v>5</v>
      </c>
      <c r="H87" s="8">
        <v>46248</v>
      </c>
      <c r="I87" s="7">
        <v>7000</v>
      </c>
      <c r="J87" s="7">
        <v>7000</v>
      </c>
      <c r="K87" s="7">
        <v>0</v>
      </c>
      <c r="L87" s="6">
        <v>0</v>
      </c>
      <c r="M87" s="5">
        <f t="shared" si="2"/>
        <v>0</v>
      </c>
    </row>
    <row r="88" spans="5:13" x14ac:dyDescent="0.3">
      <c r="E88" s="9">
        <v>32920</v>
      </c>
      <c r="F88" s="9" t="s">
        <v>4</v>
      </c>
      <c r="G88" s="9" t="s">
        <v>2</v>
      </c>
      <c r="H88" s="8">
        <v>46248</v>
      </c>
      <c r="I88" s="7">
        <v>1500</v>
      </c>
      <c r="J88" s="7">
        <v>1530</v>
      </c>
      <c r="K88" s="7">
        <v>0</v>
      </c>
      <c r="L88" s="6">
        <v>0</v>
      </c>
      <c r="M88" s="5">
        <f t="shared" si="2"/>
        <v>0</v>
      </c>
    </row>
    <row r="89" spans="5:13" x14ac:dyDescent="0.3">
      <c r="E89" s="9">
        <v>32921</v>
      </c>
      <c r="F89" s="9" t="s">
        <v>3</v>
      </c>
      <c r="G89" s="9" t="s">
        <v>2</v>
      </c>
      <c r="H89" s="8">
        <v>46248</v>
      </c>
      <c r="I89" s="7">
        <v>1200</v>
      </c>
      <c r="J89" s="7">
        <v>1220</v>
      </c>
      <c r="K89" s="7">
        <v>0</v>
      </c>
      <c r="L89" s="6">
        <v>0</v>
      </c>
      <c r="M89" s="5">
        <f t="shared" si="2"/>
        <v>0</v>
      </c>
    </row>
    <row r="90" spans="5:13" x14ac:dyDescent="0.3">
      <c r="E90" s="9">
        <v>32929</v>
      </c>
      <c r="F90" s="9" t="s">
        <v>13</v>
      </c>
      <c r="G90" s="9" t="s">
        <v>12</v>
      </c>
      <c r="H90" s="8">
        <v>46253</v>
      </c>
      <c r="I90" s="7">
        <v>2000</v>
      </c>
      <c r="J90" s="7">
        <v>2060</v>
      </c>
      <c r="K90" s="7">
        <v>0</v>
      </c>
      <c r="L90" s="6">
        <v>0</v>
      </c>
      <c r="M90" s="5">
        <f t="shared" si="2"/>
        <v>0</v>
      </c>
    </row>
    <row r="91" spans="5:13" x14ac:dyDescent="0.3">
      <c r="E91" s="9">
        <v>32930</v>
      </c>
      <c r="F91" s="9" t="s">
        <v>129</v>
      </c>
      <c r="G91" s="9" t="s">
        <v>12</v>
      </c>
      <c r="H91" s="8">
        <v>46252</v>
      </c>
      <c r="I91" s="7">
        <v>7000</v>
      </c>
      <c r="J91" s="7">
        <v>7200</v>
      </c>
      <c r="K91" s="7">
        <v>0</v>
      </c>
      <c r="L91" s="6">
        <v>0</v>
      </c>
      <c r="M91" s="5">
        <f t="shared" si="2"/>
        <v>0</v>
      </c>
    </row>
    <row r="92" spans="5:13" x14ac:dyDescent="0.3">
      <c r="E92" s="9">
        <v>32931</v>
      </c>
      <c r="F92" s="9" t="s">
        <v>128</v>
      </c>
      <c r="G92" s="9" t="s">
        <v>12</v>
      </c>
      <c r="H92" s="8">
        <v>46252</v>
      </c>
      <c r="I92" s="7">
        <v>4200</v>
      </c>
      <c r="J92" s="7">
        <v>4300</v>
      </c>
      <c r="K92" s="7">
        <v>0</v>
      </c>
      <c r="L92" s="6">
        <v>0</v>
      </c>
      <c r="M92" s="5">
        <f t="shared" si="2"/>
        <v>0</v>
      </c>
    </row>
    <row r="93" spans="5:13" x14ac:dyDescent="0.3">
      <c r="E93" s="9">
        <v>32932</v>
      </c>
      <c r="F93" s="9" t="s">
        <v>18</v>
      </c>
      <c r="G93" s="9" t="s">
        <v>12</v>
      </c>
      <c r="H93" s="8">
        <v>46252</v>
      </c>
      <c r="I93" s="7">
        <v>5600</v>
      </c>
      <c r="J93" s="7">
        <v>5780</v>
      </c>
      <c r="K93" s="7">
        <v>0</v>
      </c>
      <c r="L93" s="6">
        <v>0</v>
      </c>
      <c r="M93" s="5">
        <f t="shared" si="2"/>
        <v>0</v>
      </c>
    </row>
    <row r="94" spans="5:13" x14ac:dyDescent="0.3">
      <c r="E94" s="9">
        <v>32934</v>
      </c>
      <c r="F94" s="9" t="s">
        <v>17</v>
      </c>
      <c r="G94" s="9" t="s">
        <v>12</v>
      </c>
      <c r="H94" s="8">
        <v>46252</v>
      </c>
      <c r="I94" s="7">
        <v>5600</v>
      </c>
      <c r="J94" s="7">
        <v>5878</v>
      </c>
      <c r="K94" s="7">
        <v>0</v>
      </c>
      <c r="L94" s="6">
        <v>0</v>
      </c>
      <c r="M94" s="5">
        <f t="shared" si="2"/>
        <v>0</v>
      </c>
    </row>
    <row r="95" spans="5:13" x14ac:dyDescent="0.3">
      <c r="E95" s="9">
        <v>32935</v>
      </c>
      <c r="F95" s="9" t="s">
        <v>4</v>
      </c>
      <c r="G95" s="9" t="s">
        <v>12</v>
      </c>
      <c r="H95" s="8">
        <v>46252</v>
      </c>
      <c r="I95" s="7">
        <v>5000</v>
      </c>
      <c r="J95" s="7">
        <v>5040</v>
      </c>
      <c r="K95" s="7">
        <v>0</v>
      </c>
      <c r="L95" s="6">
        <v>0</v>
      </c>
      <c r="M95" s="5">
        <f t="shared" si="2"/>
        <v>0</v>
      </c>
    </row>
    <row r="96" spans="5:13" x14ac:dyDescent="0.3">
      <c r="E96" s="9">
        <v>32938</v>
      </c>
      <c r="F96" s="9" t="s">
        <v>13</v>
      </c>
      <c r="G96" s="9" t="s">
        <v>12</v>
      </c>
      <c r="H96" s="8">
        <v>46252</v>
      </c>
      <c r="I96" s="7">
        <v>1000</v>
      </c>
      <c r="J96" s="7">
        <v>1015</v>
      </c>
      <c r="K96" s="7">
        <v>0</v>
      </c>
      <c r="L96" s="6">
        <v>0</v>
      </c>
      <c r="M96" s="5">
        <f t="shared" si="2"/>
        <v>0</v>
      </c>
    </row>
    <row r="97" spans="5:13" x14ac:dyDescent="0.3">
      <c r="E97" s="9">
        <v>32939</v>
      </c>
      <c r="F97" s="9" t="s">
        <v>13</v>
      </c>
      <c r="G97" s="9" t="s">
        <v>12</v>
      </c>
      <c r="H97" s="8">
        <v>46253</v>
      </c>
      <c r="I97" s="7">
        <v>1000</v>
      </c>
      <c r="J97" s="7">
        <v>1040</v>
      </c>
      <c r="K97" s="7">
        <v>0</v>
      </c>
      <c r="L97" s="6">
        <v>0</v>
      </c>
      <c r="M97" s="5">
        <f t="shared" si="2"/>
        <v>0</v>
      </c>
    </row>
    <row r="98" spans="5:13" x14ac:dyDescent="0.3">
      <c r="E98" s="9">
        <v>32940</v>
      </c>
      <c r="F98" s="9" t="s">
        <v>127</v>
      </c>
      <c r="G98" s="9" t="s">
        <v>126</v>
      </c>
      <c r="H98" s="8">
        <v>46251</v>
      </c>
      <c r="I98" s="7">
        <v>6000</v>
      </c>
      <c r="J98" s="7">
        <v>12000</v>
      </c>
      <c r="K98" s="7">
        <v>0</v>
      </c>
      <c r="L98" s="6">
        <v>0</v>
      </c>
      <c r="M98" s="5">
        <f t="shared" ref="M98:M105" si="3">K98/$B$8</f>
        <v>0</v>
      </c>
    </row>
    <row r="99" spans="5:13" x14ac:dyDescent="0.3">
      <c r="E99" s="9">
        <v>32956</v>
      </c>
      <c r="F99" s="9" t="s">
        <v>1</v>
      </c>
      <c r="G99" s="9" t="s">
        <v>0</v>
      </c>
      <c r="H99" s="8">
        <v>46253</v>
      </c>
      <c r="I99" s="7">
        <v>4000</v>
      </c>
      <c r="J99" s="7">
        <v>4000</v>
      </c>
      <c r="K99" s="7">
        <v>0</v>
      </c>
      <c r="L99" s="6">
        <v>0</v>
      </c>
      <c r="M99" s="5">
        <f t="shared" si="3"/>
        <v>0</v>
      </c>
    </row>
    <row r="100" spans="5:13" x14ac:dyDescent="0.3">
      <c r="E100" s="9">
        <v>32977</v>
      </c>
      <c r="F100" s="9" t="s">
        <v>121</v>
      </c>
      <c r="G100" s="9" t="s">
        <v>0</v>
      </c>
      <c r="H100" s="8">
        <v>46253</v>
      </c>
      <c r="I100" s="7">
        <v>2000</v>
      </c>
      <c r="J100" s="7">
        <v>2000</v>
      </c>
      <c r="K100" s="7">
        <v>0</v>
      </c>
      <c r="L100" s="6">
        <v>0</v>
      </c>
      <c r="M100" s="5">
        <f t="shared" si="3"/>
        <v>0</v>
      </c>
    </row>
    <row r="101" spans="5:13" x14ac:dyDescent="0.3">
      <c r="E101" s="9">
        <v>32978</v>
      </c>
      <c r="F101" s="9" t="s">
        <v>125</v>
      </c>
      <c r="G101" s="9" t="s">
        <v>24</v>
      </c>
      <c r="H101" s="8">
        <v>46253</v>
      </c>
      <c r="I101" s="7">
        <v>4800</v>
      </c>
      <c r="J101" s="7">
        <v>4850</v>
      </c>
      <c r="K101" s="7">
        <v>0</v>
      </c>
      <c r="L101" s="6">
        <v>0</v>
      </c>
      <c r="M101" s="5">
        <f t="shared" si="3"/>
        <v>0</v>
      </c>
    </row>
    <row r="102" spans="5:13" x14ac:dyDescent="0.3">
      <c r="E102" s="9">
        <v>32982</v>
      </c>
      <c r="F102" s="9" t="s">
        <v>124</v>
      </c>
      <c r="G102" s="9" t="s">
        <v>64</v>
      </c>
      <c r="H102" s="8">
        <v>46255</v>
      </c>
      <c r="I102" s="7">
        <v>5600</v>
      </c>
      <c r="J102" s="7">
        <v>5600</v>
      </c>
      <c r="K102" s="7">
        <v>0</v>
      </c>
      <c r="L102" s="6">
        <v>0</v>
      </c>
      <c r="M102" s="5">
        <f t="shared" si="3"/>
        <v>0</v>
      </c>
    </row>
    <row r="103" spans="5:13" x14ac:dyDescent="0.3">
      <c r="E103" s="9">
        <v>32984</v>
      </c>
      <c r="F103" s="9" t="s">
        <v>123</v>
      </c>
      <c r="G103" s="9" t="s">
        <v>122</v>
      </c>
      <c r="H103" s="8">
        <v>46255</v>
      </c>
      <c r="I103" s="7">
        <v>6000</v>
      </c>
      <c r="J103" s="7">
        <v>6212</v>
      </c>
      <c r="K103" s="7">
        <v>0</v>
      </c>
      <c r="L103" s="6">
        <v>0</v>
      </c>
      <c r="M103" s="5">
        <f t="shared" si="3"/>
        <v>0</v>
      </c>
    </row>
    <row r="104" spans="5:13" x14ac:dyDescent="0.3">
      <c r="E104" s="9">
        <v>33002</v>
      </c>
      <c r="F104" s="9" t="s">
        <v>121</v>
      </c>
      <c r="G104" s="9" t="s">
        <v>0</v>
      </c>
      <c r="H104" s="8">
        <v>46255</v>
      </c>
      <c r="I104" s="7">
        <v>2000</v>
      </c>
      <c r="J104" s="7">
        <v>2000</v>
      </c>
      <c r="K104" s="7">
        <v>0</v>
      </c>
      <c r="L104" s="6">
        <v>0</v>
      </c>
      <c r="M104" s="5">
        <f t="shared" si="3"/>
        <v>0</v>
      </c>
    </row>
    <row r="105" spans="5:13" x14ac:dyDescent="0.3">
      <c r="E105" s="9">
        <v>33013</v>
      </c>
      <c r="F105" s="9" t="s">
        <v>120</v>
      </c>
      <c r="G105" s="9" t="s">
        <v>9</v>
      </c>
      <c r="H105" s="8">
        <v>46255</v>
      </c>
      <c r="I105" s="7">
        <v>1800</v>
      </c>
      <c r="J105" s="7">
        <v>1850</v>
      </c>
      <c r="K105" s="7">
        <v>0</v>
      </c>
      <c r="L105" s="6">
        <v>0</v>
      </c>
      <c r="M105" s="5">
        <f t="shared" si="3"/>
        <v>0</v>
      </c>
    </row>
    <row r="106" spans="5:13" x14ac:dyDescent="0.3">
      <c r="H106" s="4"/>
      <c r="L106" s="3"/>
      <c r="M106" s="2"/>
    </row>
    <row r="107" spans="5:13" x14ac:dyDescent="0.3">
      <c r="H107" s="4"/>
      <c r="L107" s="3"/>
      <c r="M107" s="2"/>
    </row>
    <row r="108" spans="5:13" x14ac:dyDescent="0.3">
      <c r="H108" s="4"/>
      <c r="L108" s="3"/>
      <c r="M108" s="2"/>
    </row>
    <row r="109" spans="5:13" x14ac:dyDescent="0.3">
      <c r="H109" s="4"/>
      <c r="L109" s="3"/>
      <c r="M109" s="2"/>
    </row>
    <row r="110" spans="5:13" x14ac:dyDescent="0.3">
      <c r="H110" s="4"/>
      <c r="L110" s="3"/>
      <c r="M110" s="2"/>
    </row>
    <row r="111" spans="5:13" x14ac:dyDescent="0.3">
      <c r="H111" s="4"/>
      <c r="L111" s="3"/>
      <c r="M111" s="2"/>
    </row>
    <row r="112" spans="5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</sheetData>
  <autoFilter ref="E1:M1" xr:uid="{ED0A2852-B90F-4E5C-9DCF-FC384D5546E0}"/>
  <mergeCells count="1">
    <mergeCell ref="A1:B1"/>
  </mergeCells>
  <conditionalFormatting sqref="E2:E1048576">
    <cfRule type="duplicateValues" dxfId="21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A7A1-B0A0-43D3-AAF5-471429DC3D4D}">
  <sheetPr>
    <tabColor rgb="FFFF0000"/>
    <pageSetUpPr fitToPage="1"/>
  </sheetPr>
  <dimension ref="A1:N129"/>
  <sheetViews>
    <sheetView topLeftCell="F1" zoomScaleNormal="100" workbookViewId="0">
      <selection activeCell="C32" sqref="C32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bestFit="1" customWidth="1"/>
    <col min="5" max="5" width="6" style="9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1" bestFit="1" customWidth="1"/>
    <col min="10" max="10" width="23.5546875" style="1" bestFit="1" customWidth="1"/>
    <col min="11" max="11" width="13.44140625" style="1" bestFit="1" customWidth="1"/>
    <col min="12" max="12" width="11.6640625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E1" s="23" t="s">
        <v>118</v>
      </c>
      <c r="F1" s="42" t="s">
        <v>117</v>
      </c>
      <c r="G1" s="23" t="s">
        <v>116</v>
      </c>
      <c r="H1" s="23" t="s">
        <v>115</v>
      </c>
      <c r="I1" s="23" t="s">
        <v>114</v>
      </c>
      <c r="J1" s="23" t="s">
        <v>113</v>
      </c>
      <c r="K1" s="23" t="s">
        <v>112</v>
      </c>
      <c r="L1" s="23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46255</v>
      </c>
      <c r="E2" s="9">
        <v>32692</v>
      </c>
      <c r="F2" s="32" t="s">
        <v>173</v>
      </c>
      <c r="G2" s="9" t="s">
        <v>2</v>
      </c>
      <c r="H2" s="8">
        <v>46259</v>
      </c>
      <c r="I2" s="7">
        <v>15000</v>
      </c>
      <c r="J2" s="7">
        <v>12400</v>
      </c>
      <c r="K2" s="7">
        <v>2600</v>
      </c>
      <c r="L2" s="6">
        <v>0.17299999999999999</v>
      </c>
      <c r="M2" s="12">
        <f t="shared" ref="M2:M33" si="0">K2/$B$8</f>
        <v>0.12871924352690728</v>
      </c>
      <c r="N2" s="9"/>
    </row>
    <row r="3" spans="1:14" x14ac:dyDescent="0.3">
      <c r="A3" s="15" t="s">
        <v>107</v>
      </c>
      <c r="B3" s="8">
        <v>46262</v>
      </c>
      <c r="E3" s="9">
        <v>32837</v>
      </c>
      <c r="F3" s="32" t="s">
        <v>177</v>
      </c>
      <c r="G3" s="9" t="s">
        <v>176</v>
      </c>
      <c r="H3" s="8">
        <v>46255</v>
      </c>
      <c r="I3" s="7">
        <v>5000</v>
      </c>
      <c r="J3" s="7">
        <v>2450</v>
      </c>
      <c r="K3" s="7">
        <v>2550</v>
      </c>
      <c r="L3" s="6">
        <v>0.51</v>
      </c>
      <c r="M3" s="12">
        <f t="shared" si="0"/>
        <v>0.12624387345908214</v>
      </c>
      <c r="N3" s="9"/>
    </row>
    <row r="4" spans="1:14" x14ac:dyDescent="0.3">
      <c r="E4" s="9">
        <v>33044</v>
      </c>
      <c r="F4" s="32" t="s">
        <v>15</v>
      </c>
      <c r="G4" s="9" t="s">
        <v>14</v>
      </c>
      <c r="H4" s="8">
        <v>46261</v>
      </c>
      <c r="I4" s="7">
        <v>14400</v>
      </c>
      <c r="J4" s="7">
        <v>13358</v>
      </c>
      <c r="K4" s="7">
        <v>1042</v>
      </c>
      <c r="L4" s="6">
        <v>7.1999999999999995E-2</v>
      </c>
      <c r="M4" s="12">
        <f t="shared" si="0"/>
        <v>5.1586712213475917E-2</v>
      </c>
      <c r="N4" s="9"/>
    </row>
    <row r="5" spans="1:14" x14ac:dyDescent="0.3">
      <c r="A5" s="15" t="s">
        <v>105</v>
      </c>
      <c r="B5" s="9">
        <f>SUBTOTAL(3,E2:E1048576)</f>
        <v>64</v>
      </c>
      <c r="E5" s="9">
        <v>32821</v>
      </c>
      <c r="F5" s="32" t="s">
        <v>171</v>
      </c>
      <c r="G5" s="9" t="s">
        <v>170</v>
      </c>
      <c r="H5" s="8">
        <v>46255</v>
      </c>
      <c r="I5" s="7">
        <v>18000</v>
      </c>
      <c r="J5" s="7">
        <v>17000</v>
      </c>
      <c r="K5" s="7">
        <v>1000</v>
      </c>
      <c r="L5" s="6">
        <v>5.6000000000000001E-2</v>
      </c>
      <c r="M5" s="12">
        <f t="shared" si="0"/>
        <v>4.9507401356502799E-2</v>
      </c>
      <c r="N5" s="9"/>
    </row>
    <row r="6" spans="1:14" x14ac:dyDescent="0.3">
      <c r="A6" s="15" t="s">
        <v>103</v>
      </c>
      <c r="B6" s="20">
        <f>SUBTOTAL(9,I2:I167)</f>
        <v>602764</v>
      </c>
      <c r="E6" s="9">
        <v>32959</v>
      </c>
      <c r="F6" s="32" t="s">
        <v>250</v>
      </c>
      <c r="G6" s="9" t="s">
        <v>176</v>
      </c>
      <c r="H6" s="8">
        <v>46261</v>
      </c>
      <c r="I6" s="7">
        <v>20000</v>
      </c>
      <c r="J6" s="7">
        <v>19042</v>
      </c>
      <c r="K6" s="7">
        <v>958</v>
      </c>
      <c r="L6" s="6">
        <v>4.8000000000000001E-2</v>
      </c>
      <c r="M6" s="12">
        <f t="shared" si="0"/>
        <v>4.7428090499529681E-2</v>
      </c>
      <c r="N6" s="9"/>
    </row>
    <row r="7" spans="1:14" x14ac:dyDescent="0.3">
      <c r="A7" s="15" t="s">
        <v>101</v>
      </c>
      <c r="B7" s="20">
        <f>SUBTOTAL(9,J2:J167)</f>
        <v>583327</v>
      </c>
      <c r="E7" s="9">
        <v>32477</v>
      </c>
      <c r="F7" s="32" t="s">
        <v>97</v>
      </c>
      <c r="G7" s="9" t="s">
        <v>12</v>
      </c>
      <c r="H7" s="8">
        <v>46260</v>
      </c>
      <c r="I7" s="7">
        <v>24000</v>
      </c>
      <c r="J7" s="7">
        <v>23075</v>
      </c>
      <c r="K7" s="7">
        <v>925</v>
      </c>
      <c r="L7" s="6">
        <v>3.9E-2</v>
      </c>
      <c r="M7" s="5">
        <f t="shared" si="0"/>
        <v>4.5794346254765091E-2</v>
      </c>
      <c r="N7" s="9"/>
    </row>
    <row r="8" spans="1:14" x14ac:dyDescent="0.3">
      <c r="A8" s="15" t="s">
        <v>99</v>
      </c>
      <c r="B8" s="20">
        <f>SUBTOTAL(9,K2:K167)</f>
        <v>20199</v>
      </c>
      <c r="E8" s="9">
        <v>32470</v>
      </c>
      <c r="F8" s="32" t="s">
        <v>97</v>
      </c>
      <c r="G8" s="9" t="s">
        <v>12</v>
      </c>
      <c r="H8" s="8">
        <v>46255</v>
      </c>
      <c r="I8" s="7">
        <v>24000</v>
      </c>
      <c r="J8" s="7">
        <v>23125</v>
      </c>
      <c r="K8" s="7">
        <v>875</v>
      </c>
      <c r="L8" s="6">
        <v>3.5999999999999997E-2</v>
      </c>
      <c r="M8" s="5">
        <f t="shared" si="0"/>
        <v>4.3318976186939945E-2</v>
      </c>
      <c r="N8" s="9"/>
    </row>
    <row r="9" spans="1:14" x14ac:dyDescent="0.3">
      <c r="A9" s="15" t="s">
        <v>98</v>
      </c>
      <c r="B9" s="18">
        <f>B8/B6</f>
        <v>3.351062770835684E-2</v>
      </c>
      <c r="D9" s="17"/>
      <c r="E9" s="9">
        <v>32795</v>
      </c>
      <c r="F9" s="32" t="s">
        <v>174</v>
      </c>
      <c r="G9" s="9" t="s">
        <v>71</v>
      </c>
      <c r="H9" s="8">
        <v>46255</v>
      </c>
      <c r="I9" s="7">
        <v>24000</v>
      </c>
      <c r="J9" s="7">
        <v>23150</v>
      </c>
      <c r="K9" s="7">
        <v>850</v>
      </c>
      <c r="L9" s="6">
        <v>3.5000000000000003E-2</v>
      </c>
      <c r="M9" s="5">
        <f t="shared" si="0"/>
        <v>4.2081291153027375E-2</v>
      </c>
      <c r="N9" s="9"/>
    </row>
    <row r="10" spans="1:14" x14ac:dyDescent="0.3">
      <c r="A10" s="15" t="s">
        <v>96</v>
      </c>
      <c r="B10" s="9">
        <f>COUNTIF(L:L,"&gt;=5%")</f>
        <v>12</v>
      </c>
      <c r="D10" s="39"/>
      <c r="E10" s="9">
        <v>32963</v>
      </c>
      <c r="F10" s="32" t="s">
        <v>250</v>
      </c>
      <c r="G10" s="9" t="s">
        <v>176</v>
      </c>
      <c r="H10" s="8">
        <v>46261</v>
      </c>
      <c r="I10" s="7">
        <v>24000</v>
      </c>
      <c r="J10" s="7">
        <v>23207</v>
      </c>
      <c r="K10" s="7">
        <v>793</v>
      </c>
      <c r="L10" s="6">
        <v>3.3000000000000002E-2</v>
      </c>
      <c r="M10" s="5">
        <f t="shared" si="0"/>
        <v>3.9259369275706717E-2</v>
      </c>
      <c r="N10" s="9"/>
    </row>
    <row r="11" spans="1:14" x14ac:dyDescent="0.3">
      <c r="A11" s="15" t="s">
        <v>95</v>
      </c>
      <c r="B11" s="14">
        <f>B10/B5</f>
        <v>0.1875</v>
      </c>
      <c r="E11" s="9">
        <v>33009</v>
      </c>
      <c r="F11" s="32" t="s">
        <v>267</v>
      </c>
      <c r="G11" s="9" t="s">
        <v>2</v>
      </c>
      <c r="H11" s="8">
        <v>46260</v>
      </c>
      <c r="I11" s="7">
        <v>8000</v>
      </c>
      <c r="J11" s="7">
        <v>7224</v>
      </c>
      <c r="K11" s="7">
        <v>776</v>
      </c>
      <c r="L11" s="6">
        <v>9.7000000000000003E-2</v>
      </c>
      <c r="M11" s="5">
        <f t="shared" si="0"/>
        <v>3.8417743452646168E-2</v>
      </c>
      <c r="N11" s="9"/>
    </row>
    <row r="12" spans="1:14" x14ac:dyDescent="0.3">
      <c r="E12" s="9">
        <v>32464</v>
      </c>
      <c r="F12" s="32" t="s">
        <v>172</v>
      </c>
      <c r="G12" s="9" t="s">
        <v>12</v>
      </c>
      <c r="H12" s="8">
        <v>46255</v>
      </c>
      <c r="I12" s="7">
        <v>18000</v>
      </c>
      <c r="J12" s="7">
        <v>17300</v>
      </c>
      <c r="K12" s="7">
        <v>700</v>
      </c>
      <c r="L12" s="6">
        <v>3.9E-2</v>
      </c>
      <c r="M12" s="5">
        <f t="shared" si="0"/>
        <v>3.4655180949551959E-2</v>
      </c>
      <c r="N12" s="9"/>
    </row>
    <row r="13" spans="1:14" x14ac:dyDescent="0.3">
      <c r="E13" s="9">
        <v>32822</v>
      </c>
      <c r="F13" s="32" t="s">
        <v>171</v>
      </c>
      <c r="G13" s="9" t="s">
        <v>170</v>
      </c>
      <c r="H13" s="8">
        <v>46255</v>
      </c>
      <c r="I13" s="7">
        <v>16000</v>
      </c>
      <c r="J13" s="7">
        <v>15500</v>
      </c>
      <c r="K13" s="7">
        <v>500</v>
      </c>
      <c r="L13" s="6">
        <v>3.1E-2</v>
      </c>
      <c r="M13" s="5">
        <f t="shared" si="0"/>
        <v>2.4753700678251399E-2</v>
      </c>
      <c r="N13" s="9"/>
    </row>
    <row r="14" spans="1:14" x14ac:dyDescent="0.3">
      <c r="A14" s="26" t="s">
        <v>178</v>
      </c>
      <c r="B14" s="27">
        <f>B8-'[1]24-08'!B8</f>
        <v>-30642</v>
      </c>
      <c r="E14" s="9">
        <v>32962</v>
      </c>
      <c r="F14" s="32" t="s">
        <v>250</v>
      </c>
      <c r="G14" s="9" t="s">
        <v>176</v>
      </c>
      <c r="H14" s="8">
        <v>46260</v>
      </c>
      <c r="I14" s="7">
        <v>16000</v>
      </c>
      <c r="J14" s="7">
        <v>15500</v>
      </c>
      <c r="K14" s="7">
        <v>500</v>
      </c>
      <c r="L14" s="6">
        <v>3.1E-2</v>
      </c>
      <c r="M14" s="5">
        <f t="shared" si="0"/>
        <v>2.4753700678251399E-2</v>
      </c>
      <c r="N14" s="9"/>
    </row>
    <row r="15" spans="1:14" x14ac:dyDescent="0.3">
      <c r="A15" s="26" t="s">
        <v>178</v>
      </c>
      <c r="B15" s="25">
        <f>B9-'[1]24-08'!B9</f>
        <v>-2.1610350919131771E-2</v>
      </c>
      <c r="E15" s="9">
        <v>32994</v>
      </c>
      <c r="F15" s="32" t="s">
        <v>179</v>
      </c>
      <c r="G15" s="9" t="s">
        <v>12</v>
      </c>
      <c r="H15" s="8">
        <v>46258</v>
      </c>
      <c r="I15" s="7">
        <v>29948</v>
      </c>
      <c r="J15" s="7">
        <v>29450</v>
      </c>
      <c r="K15" s="7">
        <v>498</v>
      </c>
      <c r="L15" s="6">
        <v>1.7000000000000001E-2</v>
      </c>
      <c r="M15" s="5">
        <f t="shared" si="0"/>
        <v>2.4654685875538394E-2</v>
      </c>
      <c r="N15" s="9"/>
    </row>
    <row r="16" spans="1:14" x14ac:dyDescent="0.3">
      <c r="E16" s="9">
        <v>32885</v>
      </c>
      <c r="F16" s="32" t="s">
        <v>269</v>
      </c>
      <c r="G16" s="9" t="s">
        <v>79</v>
      </c>
      <c r="H16" s="8">
        <v>46262</v>
      </c>
      <c r="I16" s="7">
        <v>10563</v>
      </c>
      <c r="J16" s="7">
        <v>10125</v>
      </c>
      <c r="K16" s="7">
        <v>438</v>
      </c>
      <c r="L16" s="6">
        <v>4.1000000000000002E-2</v>
      </c>
      <c r="M16" s="5">
        <f t="shared" si="0"/>
        <v>2.1684241794148226E-2</v>
      </c>
      <c r="N16" s="9"/>
    </row>
    <row r="17" spans="5:14" x14ac:dyDescent="0.3">
      <c r="E17" s="9">
        <v>33042</v>
      </c>
      <c r="F17" s="32" t="s">
        <v>267</v>
      </c>
      <c r="G17" s="9" t="s">
        <v>2</v>
      </c>
      <c r="H17" s="8">
        <v>46262</v>
      </c>
      <c r="I17" s="7">
        <v>3904</v>
      </c>
      <c r="J17" s="7">
        <v>3510</v>
      </c>
      <c r="K17" s="7">
        <v>394</v>
      </c>
      <c r="L17" s="6">
        <v>0.10100000000000001</v>
      </c>
      <c r="M17" s="5">
        <f t="shared" si="0"/>
        <v>1.9505916134462103E-2</v>
      </c>
      <c r="N17" s="9"/>
    </row>
    <row r="18" spans="5:14" x14ac:dyDescent="0.3">
      <c r="E18" s="9">
        <v>33059</v>
      </c>
      <c r="F18" s="32" t="s">
        <v>60</v>
      </c>
      <c r="G18" s="9" t="s">
        <v>268</v>
      </c>
      <c r="H18" s="8">
        <v>46262</v>
      </c>
      <c r="I18" s="7">
        <v>7600</v>
      </c>
      <c r="J18" s="7">
        <v>7251</v>
      </c>
      <c r="K18" s="7">
        <v>349</v>
      </c>
      <c r="L18" s="6">
        <v>4.5999999999999999E-2</v>
      </c>
      <c r="M18" s="5">
        <f t="shared" si="0"/>
        <v>1.7278083073419475E-2</v>
      </c>
      <c r="N18" s="9"/>
    </row>
    <row r="19" spans="5:14" x14ac:dyDescent="0.3">
      <c r="E19" s="9">
        <v>33043</v>
      </c>
      <c r="F19" s="32" t="s">
        <v>267</v>
      </c>
      <c r="G19" s="9" t="s">
        <v>2</v>
      </c>
      <c r="H19" s="8">
        <v>46262</v>
      </c>
      <c r="I19" s="7">
        <v>4100</v>
      </c>
      <c r="J19" s="7">
        <v>3753</v>
      </c>
      <c r="K19" s="7">
        <v>347</v>
      </c>
      <c r="L19" s="6">
        <v>8.5000000000000006E-2</v>
      </c>
      <c r="M19" s="5">
        <f t="shared" si="0"/>
        <v>1.717906827070647E-2</v>
      </c>
      <c r="N19" s="9"/>
    </row>
    <row r="20" spans="5:14" x14ac:dyDescent="0.3">
      <c r="E20" s="9">
        <v>32941</v>
      </c>
      <c r="F20" s="32" t="s">
        <v>168</v>
      </c>
      <c r="G20" s="9" t="s">
        <v>166</v>
      </c>
      <c r="H20" s="8">
        <v>46255</v>
      </c>
      <c r="I20" s="7">
        <v>25200</v>
      </c>
      <c r="J20" s="7">
        <v>24882</v>
      </c>
      <c r="K20" s="7">
        <v>318</v>
      </c>
      <c r="L20" s="6">
        <v>1.2999999999999999E-2</v>
      </c>
      <c r="M20" s="5">
        <f t="shared" si="0"/>
        <v>1.574335363136789E-2</v>
      </c>
      <c r="N20" s="9"/>
    </row>
    <row r="21" spans="5:14" x14ac:dyDescent="0.3">
      <c r="E21" s="9">
        <v>32942</v>
      </c>
      <c r="F21" s="32" t="s">
        <v>167</v>
      </c>
      <c r="G21" s="9" t="s">
        <v>166</v>
      </c>
      <c r="H21" s="8">
        <v>46255</v>
      </c>
      <c r="I21" s="7">
        <v>18000</v>
      </c>
      <c r="J21" s="7">
        <v>17697</v>
      </c>
      <c r="K21" s="7">
        <v>303</v>
      </c>
      <c r="L21" s="6">
        <v>1.7000000000000001E-2</v>
      </c>
      <c r="M21" s="5">
        <f t="shared" si="0"/>
        <v>1.5000742611020348E-2</v>
      </c>
      <c r="N21" s="9"/>
    </row>
    <row r="22" spans="5:14" x14ac:dyDescent="0.3">
      <c r="E22" s="9">
        <v>32995</v>
      </c>
      <c r="F22" s="32" t="s">
        <v>179</v>
      </c>
      <c r="G22" s="9" t="s">
        <v>12</v>
      </c>
      <c r="H22" s="8">
        <v>46258</v>
      </c>
      <c r="I22" s="7">
        <v>30009</v>
      </c>
      <c r="J22" s="7">
        <v>29725</v>
      </c>
      <c r="K22" s="7">
        <v>284</v>
      </c>
      <c r="L22" s="6">
        <v>8.9999999999999993E-3</v>
      </c>
      <c r="M22" s="5">
        <f t="shared" si="0"/>
        <v>1.4060101985246794E-2</v>
      </c>
      <c r="N22" s="9"/>
    </row>
    <row r="23" spans="5:14" x14ac:dyDescent="0.3">
      <c r="E23" s="9">
        <v>33046</v>
      </c>
      <c r="F23" s="32" t="s">
        <v>15</v>
      </c>
      <c r="G23" s="9" t="s">
        <v>14</v>
      </c>
      <c r="H23" s="8">
        <v>46261</v>
      </c>
      <c r="I23" s="7">
        <v>14400</v>
      </c>
      <c r="J23" s="7">
        <v>14117</v>
      </c>
      <c r="K23" s="7">
        <v>283</v>
      </c>
      <c r="L23" s="6">
        <v>0.02</v>
      </c>
      <c r="M23" s="5">
        <f t="shared" si="0"/>
        <v>1.4010594583890291E-2</v>
      </c>
      <c r="N23" s="9"/>
    </row>
    <row r="24" spans="5:14" x14ac:dyDescent="0.3">
      <c r="E24" s="9">
        <v>32838</v>
      </c>
      <c r="F24" s="32" t="s">
        <v>177</v>
      </c>
      <c r="G24" s="9" t="s">
        <v>176</v>
      </c>
      <c r="H24" s="8">
        <v>46259</v>
      </c>
      <c r="I24" s="7">
        <v>4000</v>
      </c>
      <c r="J24" s="7">
        <v>3760</v>
      </c>
      <c r="K24" s="7">
        <v>240</v>
      </c>
      <c r="L24" s="6">
        <v>0.06</v>
      </c>
      <c r="M24" s="5">
        <f t="shared" si="0"/>
        <v>1.1881776325560671E-2</v>
      </c>
      <c r="N24" s="9"/>
    </row>
    <row r="25" spans="5:14" x14ac:dyDescent="0.3">
      <c r="E25" s="9">
        <v>33045</v>
      </c>
      <c r="F25" s="32" t="s">
        <v>15</v>
      </c>
      <c r="G25" s="9" t="s">
        <v>14</v>
      </c>
      <c r="H25" s="8">
        <v>46261</v>
      </c>
      <c r="I25" s="7">
        <v>14400</v>
      </c>
      <c r="J25" s="7">
        <v>14170</v>
      </c>
      <c r="K25" s="7">
        <v>230</v>
      </c>
      <c r="L25" s="6">
        <v>1.6E-2</v>
      </c>
      <c r="M25" s="5">
        <f t="shared" si="0"/>
        <v>1.1386702311995643E-2</v>
      </c>
      <c r="N25" s="9"/>
    </row>
    <row r="26" spans="5:14" x14ac:dyDescent="0.3">
      <c r="E26" s="9">
        <v>33054</v>
      </c>
      <c r="F26" s="32" t="s">
        <v>146</v>
      </c>
      <c r="G26" s="9" t="s">
        <v>266</v>
      </c>
      <c r="H26" s="8">
        <v>46262</v>
      </c>
      <c r="I26" s="7">
        <v>4400</v>
      </c>
      <c r="J26" s="7">
        <v>4174</v>
      </c>
      <c r="K26" s="7">
        <v>226</v>
      </c>
      <c r="L26" s="6">
        <v>5.0999999999999997E-2</v>
      </c>
      <c r="M26" s="5">
        <f t="shared" si="0"/>
        <v>1.1188672706569633E-2</v>
      </c>
      <c r="N26" s="9"/>
    </row>
    <row r="27" spans="5:14" x14ac:dyDescent="0.3">
      <c r="E27" s="9">
        <v>32985</v>
      </c>
      <c r="F27" s="32" t="s">
        <v>162</v>
      </c>
      <c r="G27" s="9" t="s">
        <v>122</v>
      </c>
      <c r="H27" s="8">
        <v>46255</v>
      </c>
      <c r="I27" s="7">
        <v>2100</v>
      </c>
      <c r="J27" s="7">
        <v>1899</v>
      </c>
      <c r="K27" s="7">
        <v>201</v>
      </c>
      <c r="L27" s="24">
        <v>9.6000000000000002E-2</v>
      </c>
      <c r="M27" s="5">
        <f t="shared" si="0"/>
        <v>9.9509876726570617E-3</v>
      </c>
      <c r="N27" s="9"/>
    </row>
    <row r="28" spans="5:14" x14ac:dyDescent="0.3">
      <c r="E28" s="9">
        <v>32961</v>
      </c>
      <c r="F28" s="32" t="s">
        <v>250</v>
      </c>
      <c r="G28" s="9" t="s">
        <v>176</v>
      </c>
      <c r="H28" s="8">
        <v>46260</v>
      </c>
      <c r="I28" s="7">
        <v>16000</v>
      </c>
      <c r="J28" s="7">
        <v>15800</v>
      </c>
      <c r="K28" s="7">
        <v>200</v>
      </c>
      <c r="L28" s="6">
        <v>1.2999999999999999E-2</v>
      </c>
      <c r="M28" s="5">
        <f t="shared" si="0"/>
        <v>9.9014802713005591E-3</v>
      </c>
      <c r="N28" s="9"/>
    </row>
    <row r="29" spans="5:14" x14ac:dyDescent="0.3">
      <c r="E29" s="9">
        <v>33047</v>
      </c>
      <c r="F29" s="32" t="s">
        <v>159</v>
      </c>
      <c r="G29" s="9" t="s">
        <v>14</v>
      </c>
      <c r="H29" s="8">
        <v>46262</v>
      </c>
      <c r="I29" s="7">
        <v>9500</v>
      </c>
      <c r="J29" s="7">
        <v>9324</v>
      </c>
      <c r="K29" s="7">
        <v>176</v>
      </c>
      <c r="L29" s="6">
        <v>1.9E-2</v>
      </c>
      <c r="M29" s="5">
        <f t="shared" si="0"/>
        <v>8.7133026387444922E-3</v>
      </c>
      <c r="N29" s="9"/>
    </row>
    <row r="30" spans="5:14" x14ac:dyDescent="0.3">
      <c r="E30" s="9">
        <v>33018</v>
      </c>
      <c r="F30" s="32" t="s">
        <v>265</v>
      </c>
      <c r="G30" s="9" t="s">
        <v>30</v>
      </c>
      <c r="H30" s="8">
        <v>46260</v>
      </c>
      <c r="I30" s="7">
        <v>11400</v>
      </c>
      <c r="J30" s="7">
        <v>11251</v>
      </c>
      <c r="K30" s="7">
        <v>149</v>
      </c>
      <c r="L30" s="6">
        <v>1.2999999999999999E-2</v>
      </c>
      <c r="M30" s="5">
        <f t="shared" si="0"/>
        <v>7.3766028021189168E-3</v>
      </c>
      <c r="N30" s="9"/>
    </row>
    <row r="31" spans="5:14" x14ac:dyDescent="0.3">
      <c r="E31" s="9">
        <v>33048</v>
      </c>
      <c r="F31" s="32" t="s">
        <v>159</v>
      </c>
      <c r="G31" s="9" t="s">
        <v>14</v>
      </c>
      <c r="H31" s="8">
        <v>46262</v>
      </c>
      <c r="I31" s="7">
        <v>9500</v>
      </c>
      <c r="J31" s="7">
        <v>9351</v>
      </c>
      <c r="K31" s="7">
        <v>149</v>
      </c>
      <c r="L31" s="6">
        <v>1.6E-2</v>
      </c>
      <c r="M31" s="5">
        <f t="shared" si="0"/>
        <v>7.3766028021189168E-3</v>
      </c>
      <c r="N31" s="9"/>
    </row>
    <row r="32" spans="5:14" x14ac:dyDescent="0.3">
      <c r="E32" s="9">
        <v>33051</v>
      </c>
      <c r="F32" s="32" t="s">
        <v>264</v>
      </c>
      <c r="G32" s="9" t="s">
        <v>147</v>
      </c>
      <c r="H32" s="8">
        <v>46262</v>
      </c>
      <c r="I32" s="7">
        <v>4400</v>
      </c>
      <c r="J32" s="7">
        <v>4259</v>
      </c>
      <c r="K32" s="7">
        <v>141</v>
      </c>
      <c r="L32" s="6">
        <v>3.2000000000000001E-2</v>
      </c>
      <c r="M32" s="5">
        <f t="shared" si="0"/>
        <v>6.9805435912668945E-3</v>
      </c>
      <c r="N32" s="9"/>
    </row>
    <row r="33" spans="5:14" x14ac:dyDescent="0.3">
      <c r="E33" s="9">
        <v>33060</v>
      </c>
      <c r="F33" s="32" t="s">
        <v>263</v>
      </c>
      <c r="G33" s="9" t="s">
        <v>14</v>
      </c>
      <c r="H33" s="8">
        <v>46262</v>
      </c>
      <c r="I33" s="7">
        <v>2200</v>
      </c>
      <c r="J33" s="7">
        <v>2062</v>
      </c>
      <c r="K33" s="7">
        <v>138</v>
      </c>
      <c r="L33" s="6">
        <v>6.3E-2</v>
      </c>
      <c r="M33" s="5">
        <f t="shared" si="0"/>
        <v>6.8320213871973859E-3</v>
      </c>
      <c r="N33" s="9"/>
    </row>
    <row r="34" spans="5:14" x14ac:dyDescent="0.3">
      <c r="E34" s="9">
        <v>33065</v>
      </c>
      <c r="F34" s="32" t="s">
        <v>37</v>
      </c>
      <c r="G34" s="9" t="s">
        <v>14</v>
      </c>
      <c r="H34" s="8">
        <v>46262</v>
      </c>
      <c r="I34" s="7">
        <v>1100</v>
      </c>
      <c r="J34" s="7">
        <v>979</v>
      </c>
      <c r="K34" s="7">
        <v>121</v>
      </c>
      <c r="L34" s="24">
        <v>0.11</v>
      </c>
      <c r="M34" s="5">
        <f t="shared" ref="M34:M65" si="1">K34/$B$8</f>
        <v>5.9903955641368387E-3</v>
      </c>
      <c r="N34" s="9"/>
    </row>
    <row r="35" spans="5:14" x14ac:dyDescent="0.3">
      <c r="E35" s="9">
        <v>33008</v>
      </c>
      <c r="F35" s="32" t="s">
        <v>229</v>
      </c>
      <c r="G35" s="9" t="s">
        <v>2</v>
      </c>
      <c r="H35" s="8">
        <v>46258</v>
      </c>
      <c r="I35" s="7">
        <v>6000</v>
      </c>
      <c r="J35" s="7">
        <v>5896</v>
      </c>
      <c r="K35" s="7">
        <v>104</v>
      </c>
      <c r="L35" s="6">
        <v>1.7000000000000001E-2</v>
      </c>
      <c r="M35" s="5">
        <f t="shared" si="1"/>
        <v>5.1487697410762907E-3</v>
      </c>
      <c r="N35" s="9"/>
    </row>
    <row r="36" spans="5:14" x14ac:dyDescent="0.3">
      <c r="E36" s="9">
        <v>33050</v>
      </c>
      <c r="F36" s="32" t="s">
        <v>263</v>
      </c>
      <c r="G36" s="9" t="s">
        <v>14</v>
      </c>
      <c r="H36" s="8">
        <v>46262</v>
      </c>
      <c r="I36" s="7">
        <v>4400</v>
      </c>
      <c r="J36" s="7">
        <v>4308</v>
      </c>
      <c r="K36" s="7">
        <v>92</v>
      </c>
      <c r="L36" s="6">
        <v>2.1000000000000001E-2</v>
      </c>
      <c r="M36" s="5">
        <f t="shared" si="1"/>
        <v>4.5546809247982573E-3</v>
      </c>
      <c r="N36" s="9"/>
    </row>
    <row r="37" spans="5:14" x14ac:dyDescent="0.3">
      <c r="E37" s="9">
        <v>33007</v>
      </c>
      <c r="F37" s="32" t="s">
        <v>193</v>
      </c>
      <c r="G37" s="9" t="s">
        <v>192</v>
      </c>
      <c r="H37" s="8">
        <v>46260</v>
      </c>
      <c r="I37" s="7">
        <v>3120</v>
      </c>
      <c r="J37" s="7">
        <v>3035</v>
      </c>
      <c r="K37" s="7">
        <v>85</v>
      </c>
      <c r="L37" s="6">
        <v>2.7E-2</v>
      </c>
      <c r="M37" s="5">
        <f t="shared" si="1"/>
        <v>4.2081291153027375E-3</v>
      </c>
      <c r="N37" s="9"/>
    </row>
    <row r="38" spans="5:14" x14ac:dyDescent="0.3">
      <c r="E38" s="9">
        <v>33049</v>
      </c>
      <c r="F38" s="32" t="s">
        <v>263</v>
      </c>
      <c r="G38" s="9" t="s">
        <v>14</v>
      </c>
      <c r="H38" s="8">
        <v>46262</v>
      </c>
      <c r="I38" s="7">
        <v>4400</v>
      </c>
      <c r="J38" s="7">
        <v>4315</v>
      </c>
      <c r="K38" s="7">
        <v>85</v>
      </c>
      <c r="L38" s="6">
        <v>1.9E-2</v>
      </c>
      <c r="M38" s="5">
        <f t="shared" si="1"/>
        <v>4.2081291153027375E-3</v>
      </c>
      <c r="N38" s="9"/>
    </row>
    <row r="39" spans="5:14" x14ac:dyDescent="0.3">
      <c r="E39" s="9">
        <v>33014</v>
      </c>
      <c r="F39" s="32" t="s">
        <v>155</v>
      </c>
      <c r="G39" s="9" t="s">
        <v>26</v>
      </c>
      <c r="H39" s="8">
        <v>46255</v>
      </c>
      <c r="I39" s="7">
        <v>3800</v>
      </c>
      <c r="J39" s="7">
        <v>3717</v>
      </c>
      <c r="K39" s="7">
        <v>83</v>
      </c>
      <c r="L39" s="6">
        <v>2.1999999999999999E-2</v>
      </c>
      <c r="M39" s="5">
        <f t="shared" si="1"/>
        <v>4.1091143125897324E-3</v>
      </c>
      <c r="N39" s="9"/>
    </row>
    <row r="40" spans="5:14" x14ac:dyDescent="0.3">
      <c r="E40" s="9">
        <v>33030</v>
      </c>
      <c r="F40" s="32" t="s">
        <v>60</v>
      </c>
      <c r="G40" s="9" t="s">
        <v>12</v>
      </c>
      <c r="H40" s="8">
        <v>46258</v>
      </c>
      <c r="I40" s="7">
        <v>1900</v>
      </c>
      <c r="J40" s="7">
        <v>1830</v>
      </c>
      <c r="K40" s="7">
        <v>70</v>
      </c>
      <c r="L40" s="6">
        <v>3.6999999999999998E-2</v>
      </c>
      <c r="M40" s="5">
        <f t="shared" si="1"/>
        <v>3.4655180949551959E-3</v>
      </c>
      <c r="N40" s="9"/>
    </row>
    <row r="41" spans="5:14" x14ac:dyDescent="0.3">
      <c r="E41" s="9">
        <v>33019</v>
      </c>
      <c r="F41" s="32" t="s">
        <v>38</v>
      </c>
      <c r="G41" s="9" t="s">
        <v>28</v>
      </c>
      <c r="H41" s="8">
        <v>46259</v>
      </c>
      <c r="I41" s="7">
        <v>3800</v>
      </c>
      <c r="J41" s="7">
        <v>3731</v>
      </c>
      <c r="K41" s="7">
        <v>69</v>
      </c>
      <c r="L41" s="6">
        <v>1.7999999999999999E-2</v>
      </c>
      <c r="M41" s="5">
        <f t="shared" si="1"/>
        <v>3.4160106935986929E-3</v>
      </c>
      <c r="N41" s="9"/>
    </row>
    <row r="42" spans="5:14" x14ac:dyDescent="0.3">
      <c r="E42" s="9">
        <v>33006</v>
      </c>
      <c r="F42" s="32" t="s">
        <v>193</v>
      </c>
      <c r="G42" s="9" t="s">
        <v>192</v>
      </c>
      <c r="H42" s="8">
        <v>46260</v>
      </c>
      <c r="I42" s="7">
        <v>3120</v>
      </c>
      <c r="J42" s="7">
        <v>3056</v>
      </c>
      <c r="K42" s="7">
        <v>64</v>
      </c>
      <c r="L42" s="6">
        <v>2.1000000000000001E-2</v>
      </c>
      <c r="M42" s="5">
        <f t="shared" si="1"/>
        <v>3.1684736868161792E-3</v>
      </c>
      <c r="N42" s="9"/>
    </row>
    <row r="43" spans="5:14" x14ac:dyDescent="0.3">
      <c r="E43" s="9">
        <v>33004</v>
      </c>
      <c r="F43" s="32" t="s">
        <v>262</v>
      </c>
      <c r="G43" s="9" t="s">
        <v>135</v>
      </c>
      <c r="H43" s="8">
        <v>46259</v>
      </c>
      <c r="I43" s="7">
        <v>3800</v>
      </c>
      <c r="J43" s="7">
        <v>3738</v>
      </c>
      <c r="K43" s="7">
        <v>62</v>
      </c>
      <c r="L43" s="6">
        <v>1.6E-2</v>
      </c>
      <c r="M43" s="5">
        <f t="shared" si="1"/>
        <v>3.0694588841031732E-3</v>
      </c>
      <c r="N43" s="9"/>
    </row>
    <row r="44" spans="5:14" x14ac:dyDescent="0.3">
      <c r="E44" s="9">
        <v>33005</v>
      </c>
      <c r="F44" s="32" t="s">
        <v>146</v>
      </c>
      <c r="G44" s="9" t="s">
        <v>145</v>
      </c>
      <c r="H44" s="8">
        <v>46255</v>
      </c>
      <c r="I44" s="7">
        <v>3300</v>
      </c>
      <c r="J44" s="7">
        <v>3244</v>
      </c>
      <c r="K44" s="7">
        <v>56</v>
      </c>
      <c r="L44" s="6">
        <v>1.7000000000000001E-2</v>
      </c>
      <c r="M44" s="5">
        <f t="shared" si="1"/>
        <v>2.7724144759641565E-3</v>
      </c>
      <c r="N44" s="9"/>
    </row>
    <row r="45" spans="5:14" x14ac:dyDescent="0.3">
      <c r="E45" s="9">
        <v>33056</v>
      </c>
      <c r="F45" s="32" t="s">
        <v>198</v>
      </c>
      <c r="G45" s="9" t="s">
        <v>197</v>
      </c>
      <c r="H45" s="8">
        <v>46262</v>
      </c>
      <c r="I45" s="7">
        <v>2100</v>
      </c>
      <c r="J45" s="7">
        <v>2048</v>
      </c>
      <c r="K45" s="7">
        <v>52</v>
      </c>
      <c r="L45" s="6">
        <v>2.5000000000000001E-2</v>
      </c>
      <c r="M45" s="5">
        <f t="shared" si="1"/>
        <v>2.5743848705381453E-3</v>
      </c>
      <c r="N45" s="9"/>
    </row>
    <row r="46" spans="5:14" x14ac:dyDescent="0.3">
      <c r="E46" s="9">
        <v>33035</v>
      </c>
      <c r="F46" s="32" t="s">
        <v>261</v>
      </c>
      <c r="G46" s="9" t="s">
        <v>260</v>
      </c>
      <c r="H46" s="8">
        <v>46260</v>
      </c>
      <c r="I46" s="7">
        <v>2200</v>
      </c>
      <c r="J46" s="7">
        <v>2152</v>
      </c>
      <c r="K46" s="7">
        <v>48</v>
      </c>
      <c r="L46" s="6">
        <v>2.1999999999999999E-2</v>
      </c>
      <c r="M46" s="5">
        <f t="shared" si="1"/>
        <v>2.3763552651121342E-3</v>
      </c>
      <c r="N46" s="9"/>
    </row>
    <row r="47" spans="5:14" x14ac:dyDescent="0.3">
      <c r="E47" s="9">
        <v>33017</v>
      </c>
      <c r="F47" s="32" t="s">
        <v>134</v>
      </c>
      <c r="G47" s="9" t="s">
        <v>254</v>
      </c>
      <c r="H47" s="8">
        <v>46259</v>
      </c>
      <c r="I47" s="7">
        <v>2200</v>
      </c>
      <c r="J47" s="7">
        <v>2166</v>
      </c>
      <c r="K47" s="7">
        <v>34</v>
      </c>
      <c r="L47" s="6">
        <v>1.4999999999999999E-2</v>
      </c>
      <c r="M47" s="5">
        <f t="shared" si="1"/>
        <v>1.6832516461210952E-3</v>
      </c>
      <c r="N47" s="9"/>
    </row>
    <row r="48" spans="5:14" x14ac:dyDescent="0.3">
      <c r="E48" s="9">
        <v>33003</v>
      </c>
      <c r="F48" s="32" t="s">
        <v>134</v>
      </c>
      <c r="G48" s="9" t="s">
        <v>135</v>
      </c>
      <c r="H48" s="8">
        <v>46255</v>
      </c>
      <c r="I48" s="7">
        <v>2200</v>
      </c>
      <c r="J48" s="7">
        <v>2183</v>
      </c>
      <c r="K48" s="7">
        <v>17</v>
      </c>
      <c r="L48" s="6">
        <v>8.0000000000000002E-3</v>
      </c>
      <c r="M48" s="5">
        <f t="shared" si="1"/>
        <v>8.4162582306054759E-4</v>
      </c>
      <c r="N48" s="9"/>
    </row>
    <row r="49" spans="5:14" x14ac:dyDescent="0.3">
      <c r="E49" s="9">
        <v>33015</v>
      </c>
      <c r="F49" s="32" t="s">
        <v>134</v>
      </c>
      <c r="G49" s="9" t="s">
        <v>133</v>
      </c>
      <c r="H49" s="8">
        <v>46255</v>
      </c>
      <c r="I49" s="7">
        <v>1100</v>
      </c>
      <c r="J49" s="7">
        <v>1086</v>
      </c>
      <c r="K49" s="7">
        <v>14</v>
      </c>
      <c r="L49" s="6">
        <v>1.2999999999999999E-2</v>
      </c>
      <c r="M49" s="5">
        <f t="shared" si="1"/>
        <v>6.9310361899103912E-4</v>
      </c>
      <c r="N49" s="9"/>
    </row>
    <row r="50" spans="5:14" x14ac:dyDescent="0.3">
      <c r="E50" s="9">
        <v>33039</v>
      </c>
      <c r="F50" s="32" t="s">
        <v>141</v>
      </c>
      <c r="G50" s="9" t="s">
        <v>2</v>
      </c>
      <c r="H50" s="8">
        <v>46262</v>
      </c>
      <c r="I50" s="7">
        <v>1600</v>
      </c>
      <c r="J50" s="7">
        <v>1590</v>
      </c>
      <c r="K50" s="7">
        <v>10</v>
      </c>
      <c r="L50" s="6">
        <v>6.0000000000000001E-3</v>
      </c>
      <c r="M50" s="5">
        <f t="shared" si="1"/>
        <v>4.9507401356502798E-4</v>
      </c>
      <c r="N50" s="9"/>
    </row>
    <row r="51" spans="5:14" x14ac:dyDescent="0.3">
      <c r="E51" s="9">
        <v>32922</v>
      </c>
      <c r="F51" s="32" t="s">
        <v>259</v>
      </c>
      <c r="G51" s="9" t="s">
        <v>258</v>
      </c>
      <c r="H51" s="8">
        <v>46259</v>
      </c>
      <c r="I51" s="7">
        <v>3600</v>
      </c>
      <c r="J51" s="7">
        <v>3600</v>
      </c>
      <c r="K51" s="7">
        <v>0</v>
      </c>
      <c r="L51" s="6">
        <v>0</v>
      </c>
      <c r="M51" s="5">
        <f t="shared" si="1"/>
        <v>0</v>
      </c>
      <c r="N51" s="9"/>
    </row>
    <row r="52" spans="5:14" x14ac:dyDescent="0.3">
      <c r="E52" s="9">
        <v>32982</v>
      </c>
      <c r="F52" s="32" t="s">
        <v>124</v>
      </c>
      <c r="G52" s="9" t="s">
        <v>64</v>
      </c>
      <c r="H52" s="8">
        <v>46255</v>
      </c>
      <c r="I52" s="7">
        <v>5600</v>
      </c>
      <c r="J52" s="7">
        <v>5600</v>
      </c>
      <c r="K52" s="7">
        <v>0</v>
      </c>
      <c r="L52" s="6">
        <v>0</v>
      </c>
      <c r="M52" s="5">
        <f t="shared" si="1"/>
        <v>0</v>
      </c>
      <c r="N52" s="9"/>
    </row>
    <row r="53" spans="5:14" x14ac:dyDescent="0.3">
      <c r="E53" s="9">
        <v>32984</v>
      </c>
      <c r="F53" s="32" t="s">
        <v>123</v>
      </c>
      <c r="G53" s="9" t="s">
        <v>122</v>
      </c>
      <c r="H53" s="8">
        <v>46255</v>
      </c>
      <c r="I53" s="7">
        <v>6000</v>
      </c>
      <c r="J53" s="7">
        <v>6212</v>
      </c>
      <c r="K53" s="7">
        <v>0</v>
      </c>
      <c r="L53" s="6">
        <v>0</v>
      </c>
      <c r="M53" s="5">
        <f t="shared" si="1"/>
        <v>0</v>
      </c>
      <c r="N53" s="9"/>
    </row>
    <row r="54" spans="5:14" x14ac:dyDescent="0.3">
      <c r="E54" s="9">
        <v>33001</v>
      </c>
      <c r="F54" s="32" t="s">
        <v>257</v>
      </c>
      <c r="G54" s="9" t="s">
        <v>0</v>
      </c>
      <c r="H54" s="8">
        <v>46258</v>
      </c>
      <c r="I54" s="7">
        <v>2000</v>
      </c>
      <c r="J54" s="7">
        <v>2000</v>
      </c>
      <c r="K54" s="7">
        <v>0</v>
      </c>
      <c r="L54" s="6">
        <v>0</v>
      </c>
      <c r="M54" s="5">
        <f t="shared" si="1"/>
        <v>0</v>
      </c>
      <c r="N54" s="9"/>
    </row>
    <row r="55" spans="5:14" x14ac:dyDescent="0.3">
      <c r="E55" s="9">
        <v>33002</v>
      </c>
      <c r="F55" s="32" t="s">
        <v>121</v>
      </c>
      <c r="G55" s="9" t="s">
        <v>0</v>
      </c>
      <c r="H55" s="8">
        <v>46255</v>
      </c>
      <c r="I55" s="7">
        <v>2000</v>
      </c>
      <c r="J55" s="7">
        <v>2000</v>
      </c>
      <c r="K55" s="7">
        <v>0</v>
      </c>
      <c r="L55" s="6">
        <v>0</v>
      </c>
      <c r="M55" s="5">
        <f t="shared" si="1"/>
        <v>0</v>
      </c>
      <c r="N55" s="9"/>
    </row>
    <row r="56" spans="5:14" x14ac:dyDescent="0.3">
      <c r="E56" s="9">
        <v>33010</v>
      </c>
      <c r="F56" s="32" t="s">
        <v>256</v>
      </c>
      <c r="G56" s="9" t="s">
        <v>12</v>
      </c>
      <c r="H56" s="8">
        <v>46258</v>
      </c>
      <c r="I56" s="7">
        <v>6000</v>
      </c>
      <c r="J56" s="7">
        <v>6030</v>
      </c>
      <c r="K56" s="7">
        <v>0</v>
      </c>
      <c r="L56" s="6">
        <v>0</v>
      </c>
      <c r="M56" s="5">
        <f t="shared" si="1"/>
        <v>0</v>
      </c>
      <c r="N56" s="9"/>
    </row>
    <row r="57" spans="5:14" x14ac:dyDescent="0.3">
      <c r="E57" s="9">
        <v>33011</v>
      </c>
      <c r="F57" s="32" t="s">
        <v>18</v>
      </c>
      <c r="G57" s="9" t="s">
        <v>12</v>
      </c>
      <c r="H57" s="8">
        <v>46258</v>
      </c>
      <c r="I57" s="7">
        <v>7000</v>
      </c>
      <c r="J57" s="7">
        <v>7190</v>
      </c>
      <c r="K57" s="7">
        <v>0</v>
      </c>
      <c r="L57" s="6">
        <v>0</v>
      </c>
      <c r="M57" s="5">
        <f t="shared" si="1"/>
        <v>0</v>
      </c>
      <c r="N57" s="9"/>
    </row>
    <row r="58" spans="5:14" x14ac:dyDescent="0.3">
      <c r="E58" s="9">
        <v>33013</v>
      </c>
      <c r="F58" s="32" t="s">
        <v>120</v>
      </c>
      <c r="G58" s="9" t="s">
        <v>9</v>
      </c>
      <c r="H58" s="8">
        <v>46255</v>
      </c>
      <c r="I58" s="7">
        <v>1800</v>
      </c>
      <c r="J58" s="7">
        <v>1850</v>
      </c>
      <c r="K58" s="7">
        <v>0</v>
      </c>
      <c r="L58" s="6">
        <v>0</v>
      </c>
      <c r="M58" s="5">
        <f t="shared" si="1"/>
        <v>0</v>
      </c>
      <c r="N58" s="9"/>
    </row>
    <row r="59" spans="5:14" x14ac:dyDescent="0.3">
      <c r="E59" s="9">
        <v>33031</v>
      </c>
      <c r="F59" s="32" t="s">
        <v>128</v>
      </c>
      <c r="G59" s="9" t="s">
        <v>2</v>
      </c>
      <c r="H59" s="8">
        <v>46261</v>
      </c>
      <c r="I59" s="7">
        <v>1400</v>
      </c>
      <c r="J59" s="7">
        <v>1450</v>
      </c>
      <c r="K59" s="7">
        <v>0</v>
      </c>
      <c r="L59" s="6">
        <v>0</v>
      </c>
      <c r="M59" s="5">
        <f t="shared" si="1"/>
        <v>0</v>
      </c>
      <c r="N59" s="9"/>
    </row>
    <row r="60" spans="5:14" x14ac:dyDescent="0.3">
      <c r="E60" s="9">
        <v>33032</v>
      </c>
      <c r="F60" s="32" t="s">
        <v>255</v>
      </c>
      <c r="G60" s="9" t="s">
        <v>254</v>
      </c>
      <c r="H60" s="8">
        <v>46261</v>
      </c>
      <c r="I60" s="7">
        <v>10000</v>
      </c>
      <c r="J60" s="7">
        <v>10000</v>
      </c>
      <c r="K60" s="7">
        <v>0</v>
      </c>
      <c r="L60" s="6">
        <v>0</v>
      </c>
      <c r="M60" s="5">
        <f t="shared" si="1"/>
        <v>0</v>
      </c>
      <c r="N60" s="9"/>
    </row>
    <row r="61" spans="5:14" x14ac:dyDescent="0.3">
      <c r="E61" s="9">
        <v>33033</v>
      </c>
      <c r="F61" s="32" t="s">
        <v>255</v>
      </c>
      <c r="G61" s="9" t="s">
        <v>254</v>
      </c>
      <c r="H61" s="8">
        <v>46261</v>
      </c>
      <c r="I61" s="7">
        <v>10000</v>
      </c>
      <c r="J61" s="7">
        <v>10020</v>
      </c>
      <c r="K61" s="7">
        <v>0</v>
      </c>
      <c r="L61" s="6">
        <v>0</v>
      </c>
      <c r="M61" s="5">
        <f t="shared" si="1"/>
        <v>0</v>
      </c>
      <c r="N61" s="9"/>
    </row>
    <row r="62" spans="5:14" x14ac:dyDescent="0.3">
      <c r="E62" s="9">
        <v>33034</v>
      </c>
      <c r="F62" s="32" t="s">
        <v>255</v>
      </c>
      <c r="G62" s="9" t="s">
        <v>254</v>
      </c>
      <c r="H62" s="8">
        <v>46261</v>
      </c>
      <c r="I62" s="7">
        <v>10000</v>
      </c>
      <c r="J62" s="7">
        <v>10000</v>
      </c>
      <c r="K62" s="7">
        <v>0</v>
      </c>
      <c r="L62" s="6">
        <v>0</v>
      </c>
      <c r="M62" s="5">
        <f t="shared" si="1"/>
        <v>0</v>
      </c>
      <c r="N62" s="9"/>
    </row>
    <row r="63" spans="5:14" x14ac:dyDescent="0.3">
      <c r="E63" s="9">
        <v>33036</v>
      </c>
      <c r="F63" s="32" t="s">
        <v>253</v>
      </c>
      <c r="G63" s="9" t="s">
        <v>24</v>
      </c>
      <c r="H63" s="8">
        <v>46261</v>
      </c>
      <c r="I63" s="7">
        <v>30000</v>
      </c>
      <c r="J63" s="7">
        <v>30000</v>
      </c>
      <c r="K63" s="7">
        <v>0</v>
      </c>
      <c r="L63" s="6">
        <v>0</v>
      </c>
      <c r="M63" s="5">
        <f t="shared" si="1"/>
        <v>0</v>
      </c>
      <c r="N63" s="9"/>
    </row>
    <row r="64" spans="5:14" x14ac:dyDescent="0.3">
      <c r="E64" s="9">
        <v>33040</v>
      </c>
      <c r="F64" s="32" t="s">
        <v>3</v>
      </c>
      <c r="G64" s="9" t="s">
        <v>2</v>
      </c>
      <c r="H64" s="8">
        <v>46261</v>
      </c>
      <c r="I64" s="7">
        <v>1200</v>
      </c>
      <c r="J64" s="7">
        <v>1200</v>
      </c>
      <c r="K64" s="7">
        <v>0</v>
      </c>
      <c r="L64" s="6">
        <v>0</v>
      </c>
      <c r="M64" s="5">
        <f t="shared" si="1"/>
        <v>0</v>
      </c>
      <c r="N64" s="9"/>
    </row>
    <row r="65" spans="5:14" x14ac:dyDescent="0.3">
      <c r="E65" s="9">
        <v>33052</v>
      </c>
      <c r="F65" s="32" t="s">
        <v>252</v>
      </c>
      <c r="G65" s="9" t="s">
        <v>251</v>
      </c>
      <c r="H65" s="8">
        <v>46262</v>
      </c>
      <c r="I65" s="7">
        <v>8000</v>
      </c>
      <c r="J65" s="7">
        <v>8210</v>
      </c>
      <c r="K65" s="7">
        <v>0</v>
      </c>
      <c r="L65" s="6">
        <v>0</v>
      </c>
      <c r="M65" s="5">
        <f t="shared" si="1"/>
        <v>0</v>
      </c>
      <c r="N65" s="40"/>
    </row>
    <row r="66" spans="5:14" x14ac:dyDescent="0.3">
      <c r="H66" s="4"/>
      <c r="L66" s="3"/>
      <c r="M66" s="2"/>
    </row>
    <row r="67" spans="5:14" x14ac:dyDescent="0.3">
      <c r="H67" s="4"/>
      <c r="L67" s="3"/>
      <c r="M67" s="2"/>
    </row>
    <row r="68" spans="5:14" x14ac:dyDescent="0.3">
      <c r="H68" s="4"/>
      <c r="L68" s="3"/>
      <c r="M68" s="2"/>
    </row>
    <row r="69" spans="5:14" x14ac:dyDescent="0.3">
      <c r="H69" s="4"/>
      <c r="L69" s="3"/>
      <c r="M69" s="2"/>
    </row>
    <row r="70" spans="5:14" x14ac:dyDescent="0.3">
      <c r="H70" s="4"/>
      <c r="L70" s="3"/>
      <c r="M70" s="2"/>
    </row>
    <row r="71" spans="5:14" x14ac:dyDescent="0.3">
      <c r="H71" s="4"/>
      <c r="L71" s="3"/>
      <c r="M71" s="2"/>
    </row>
    <row r="72" spans="5:14" x14ac:dyDescent="0.3">
      <c r="H72" s="4"/>
      <c r="L72" s="3"/>
      <c r="M72" s="2"/>
    </row>
    <row r="73" spans="5:14" x14ac:dyDescent="0.3">
      <c r="H73" s="4"/>
      <c r="L73" s="3"/>
      <c r="M73" s="2"/>
    </row>
    <row r="74" spans="5:14" x14ac:dyDescent="0.3">
      <c r="H74" s="4"/>
      <c r="L74" s="3"/>
      <c r="M74" s="2"/>
    </row>
    <row r="75" spans="5:14" x14ac:dyDescent="0.3">
      <c r="H75" s="4"/>
      <c r="L75" s="3"/>
      <c r="M75" s="2"/>
    </row>
    <row r="76" spans="5:14" x14ac:dyDescent="0.3">
      <c r="H76" s="4"/>
      <c r="L76" s="3"/>
      <c r="M76" s="2"/>
    </row>
    <row r="77" spans="5:14" x14ac:dyDescent="0.3">
      <c r="H77" s="4"/>
      <c r="L77" s="3"/>
      <c r="M77" s="2"/>
    </row>
    <row r="78" spans="5:14" x14ac:dyDescent="0.3">
      <c r="H78" s="4"/>
      <c r="L78" s="3"/>
      <c r="M78" s="2"/>
    </row>
    <row r="79" spans="5:14" x14ac:dyDescent="0.3">
      <c r="H79" s="4"/>
      <c r="L79" s="3"/>
      <c r="M79" s="2"/>
    </row>
    <row r="80" spans="5:14" x14ac:dyDescent="0.3">
      <c r="H80" s="4"/>
      <c r="L80" s="3"/>
      <c r="M80" s="2"/>
    </row>
    <row r="81" spans="8:13" x14ac:dyDescent="0.3">
      <c r="H81" s="4"/>
      <c r="L81" s="3"/>
      <c r="M81" s="2"/>
    </row>
    <row r="82" spans="8:13" x14ac:dyDescent="0.3">
      <c r="H82" s="4"/>
      <c r="L82" s="3"/>
      <c r="M82" s="2"/>
    </row>
    <row r="83" spans="8:13" x14ac:dyDescent="0.3">
      <c r="H83" s="4"/>
      <c r="L83" s="3"/>
      <c r="M83" s="2"/>
    </row>
    <row r="84" spans="8:13" x14ac:dyDescent="0.3">
      <c r="H84" s="4"/>
      <c r="L84" s="3"/>
      <c r="M84" s="2"/>
    </row>
    <row r="85" spans="8:13" x14ac:dyDescent="0.3">
      <c r="H85" s="4"/>
      <c r="L85" s="3"/>
      <c r="M85" s="2"/>
    </row>
    <row r="86" spans="8:13" x14ac:dyDescent="0.3">
      <c r="H86" s="4"/>
      <c r="L86" s="3"/>
      <c r="M86" s="2"/>
    </row>
    <row r="87" spans="8:13" x14ac:dyDescent="0.3">
      <c r="H87" s="4"/>
      <c r="L87" s="3"/>
      <c r="M87" s="2"/>
    </row>
    <row r="88" spans="8:13" x14ac:dyDescent="0.3">
      <c r="H88" s="4"/>
      <c r="L88" s="3"/>
      <c r="M88" s="2"/>
    </row>
    <row r="89" spans="8:13" x14ac:dyDescent="0.3">
      <c r="H89" s="4"/>
      <c r="L89" s="3"/>
      <c r="M89" s="2"/>
    </row>
    <row r="90" spans="8:13" x14ac:dyDescent="0.3">
      <c r="H90" s="4"/>
      <c r="L90" s="3"/>
      <c r="M90" s="2"/>
    </row>
    <row r="91" spans="8:13" x14ac:dyDescent="0.3">
      <c r="H91" s="4"/>
      <c r="L91" s="3"/>
      <c r="M91" s="2"/>
    </row>
    <row r="92" spans="8:13" x14ac:dyDescent="0.3">
      <c r="H92" s="4"/>
      <c r="L92" s="3"/>
      <c r="M92" s="2"/>
    </row>
    <row r="93" spans="8:13" x14ac:dyDescent="0.3">
      <c r="H93" s="4"/>
      <c r="L93" s="3"/>
      <c r="M93" s="2"/>
    </row>
    <row r="94" spans="8:13" x14ac:dyDescent="0.3">
      <c r="H94" s="4"/>
      <c r="L94" s="3"/>
      <c r="M94" s="2"/>
    </row>
    <row r="95" spans="8:13" x14ac:dyDescent="0.3">
      <c r="H95" s="4"/>
      <c r="L95" s="3"/>
      <c r="M95" s="2"/>
    </row>
    <row r="96" spans="8:13" x14ac:dyDescent="0.3">
      <c r="H96" s="4"/>
      <c r="L96" s="3"/>
      <c r="M96" s="2"/>
    </row>
    <row r="97" spans="8:13" x14ac:dyDescent="0.3">
      <c r="H97" s="4"/>
      <c r="L97" s="3"/>
      <c r="M97" s="2"/>
    </row>
    <row r="98" spans="8:13" x14ac:dyDescent="0.3">
      <c r="H98" s="4"/>
      <c r="L98" s="3"/>
      <c r="M98" s="2"/>
    </row>
    <row r="99" spans="8:13" x14ac:dyDescent="0.3">
      <c r="H99" s="4"/>
      <c r="L99" s="3"/>
      <c r="M99" s="2"/>
    </row>
    <row r="100" spans="8:13" x14ac:dyDescent="0.3">
      <c r="H100" s="4"/>
      <c r="L100" s="3"/>
      <c r="M100" s="2"/>
    </row>
    <row r="101" spans="8:13" x14ac:dyDescent="0.3">
      <c r="H101" s="4"/>
      <c r="L101" s="3"/>
      <c r="M101" s="2"/>
    </row>
    <row r="102" spans="8:13" x14ac:dyDescent="0.3">
      <c r="H102" s="4"/>
      <c r="L102" s="3"/>
      <c r="M102" s="2"/>
    </row>
    <row r="103" spans="8:13" x14ac:dyDescent="0.3">
      <c r="H103" s="4"/>
      <c r="L103" s="3"/>
      <c r="M103" s="2"/>
    </row>
    <row r="104" spans="8:13" x14ac:dyDescent="0.3">
      <c r="H104" s="4"/>
      <c r="L104" s="3"/>
      <c r="M104" s="2"/>
    </row>
    <row r="105" spans="8:13" x14ac:dyDescent="0.3">
      <c r="H105" s="4"/>
      <c r="L105" s="3"/>
      <c r="M105" s="2"/>
    </row>
    <row r="106" spans="8:13" x14ac:dyDescent="0.3">
      <c r="H106" s="4"/>
      <c r="L106" s="3"/>
      <c r="M106" s="2"/>
    </row>
    <row r="107" spans="8:13" x14ac:dyDescent="0.3">
      <c r="H107" s="4"/>
      <c r="L107" s="3"/>
      <c r="M107" s="2"/>
    </row>
    <row r="108" spans="8:13" x14ac:dyDescent="0.3">
      <c r="H108" s="4"/>
      <c r="L108" s="3"/>
      <c r="M108" s="2"/>
    </row>
    <row r="109" spans="8:13" x14ac:dyDescent="0.3">
      <c r="H109" s="4"/>
      <c r="L109" s="3"/>
      <c r="M109" s="2"/>
    </row>
    <row r="110" spans="8:13" x14ac:dyDescent="0.3">
      <c r="H110" s="4"/>
      <c r="L110" s="3"/>
      <c r="M110" s="2"/>
    </row>
    <row r="111" spans="8:13" x14ac:dyDescent="0.3">
      <c r="H111" s="4"/>
      <c r="L111" s="3"/>
      <c r="M111" s="2"/>
    </row>
    <row r="112" spans="8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</sheetData>
  <autoFilter ref="E1:N1" xr:uid="{ED0A2852-B90F-4E5C-9DCF-FC384D5546E0}"/>
  <mergeCells count="1">
    <mergeCell ref="A1:B1"/>
  </mergeCells>
  <conditionalFormatting sqref="D2:D6">
    <cfRule type="duplicateValues" dxfId="20" priority="3"/>
  </conditionalFormatting>
  <conditionalFormatting sqref="D7">
    <cfRule type="duplicateValues" dxfId="19" priority="2"/>
  </conditionalFormatting>
  <conditionalFormatting sqref="D8">
    <cfRule type="duplicateValues" dxfId="18" priority="1"/>
  </conditionalFormatting>
  <conditionalFormatting sqref="E2:E1048576">
    <cfRule type="duplicateValues" dxfId="17" priority="4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5F90-CDC4-4B53-858B-E5EC1B5D23E9}">
  <sheetPr>
    <tabColor rgb="FFFF0000"/>
    <pageSetUpPr fitToPage="1"/>
  </sheetPr>
  <dimension ref="A1:N65"/>
  <sheetViews>
    <sheetView zoomScaleNormal="100" workbookViewId="0">
      <selection activeCell="C18" sqref="C17:C18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bestFit="1" customWidth="1"/>
    <col min="10" max="10" width="23.5546875" bestFit="1" customWidth="1"/>
    <col min="11" max="11" width="13.44140625" bestFit="1" customWidth="1"/>
    <col min="12" max="12" width="11.6640625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E1" s="23" t="s">
        <v>118</v>
      </c>
      <c r="F1" s="42" t="s">
        <v>117</v>
      </c>
      <c r="G1" s="23" t="s">
        <v>116</v>
      </c>
      <c r="H1" s="23" t="s">
        <v>115</v>
      </c>
      <c r="I1" s="23" t="s">
        <v>114</v>
      </c>
      <c r="J1" s="23" t="s">
        <v>113</v>
      </c>
      <c r="K1" s="23" t="s">
        <v>112</v>
      </c>
      <c r="L1" s="23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46263</v>
      </c>
      <c r="E2" s="9">
        <v>32781</v>
      </c>
      <c r="F2" s="32" t="s">
        <v>293</v>
      </c>
      <c r="G2" s="9" t="s">
        <v>12</v>
      </c>
      <c r="H2" s="8">
        <v>46268</v>
      </c>
      <c r="I2" s="7">
        <v>20000</v>
      </c>
      <c r="J2" s="7">
        <v>17900</v>
      </c>
      <c r="K2" s="7">
        <v>2100</v>
      </c>
      <c r="L2" s="6">
        <v>0.105</v>
      </c>
      <c r="M2" s="12">
        <f t="shared" ref="M2:M41" si="0">K2/$B$8</f>
        <v>0.18385571703729645</v>
      </c>
      <c r="N2" s="9"/>
    </row>
    <row r="3" spans="1:14" x14ac:dyDescent="0.3">
      <c r="A3" s="15" t="s">
        <v>107</v>
      </c>
      <c r="B3" s="8">
        <v>46269</v>
      </c>
      <c r="E3" s="9">
        <v>32476</v>
      </c>
      <c r="F3" s="32" t="s">
        <v>97</v>
      </c>
      <c r="G3" s="9" t="s">
        <v>12</v>
      </c>
      <c r="H3" s="8">
        <v>46265</v>
      </c>
      <c r="I3" s="7">
        <v>24000</v>
      </c>
      <c r="J3" s="7">
        <v>22275</v>
      </c>
      <c r="K3" s="7">
        <v>1725</v>
      </c>
      <c r="L3" s="6">
        <v>7.1999999999999995E-2</v>
      </c>
      <c r="M3" s="12">
        <f t="shared" si="0"/>
        <v>0.15102433899492207</v>
      </c>
      <c r="N3" s="9"/>
    </row>
    <row r="4" spans="1:14" x14ac:dyDescent="0.3">
      <c r="E4" s="9">
        <v>32783</v>
      </c>
      <c r="F4" s="32" t="s">
        <v>293</v>
      </c>
      <c r="G4" s="9" t="s">
        <v>12</v>
      </c>
      <c r="H4" s="8">
        <v>46269</v>
      </c>
      <c r="I4" s="7">
        <v>20000</v>
      </c>
      <c r="J4" s="7">
        <v>18750</v>
      </c>
      <c r="K4" s="7">
        <v>1250</v>
      </c>
      <c r="L4" s="6">
        <v>6.3E-2</v>
      </c>
      <c r="M4" s="12">
        <f t="shared" si="0"/>
        <v>0.10943792680791455</v>
      </c>
      <c r="N4" s="9"/>
    </row>
    <row r="5" spans="1:14" x14ac:dyDescent="0.3">
      <c r="A5" s="15" t="s">
        <v>105</v>
      </c>
      <c r="B5" s="9">
        <f>SUBTOTAL(3,E2:E1048576)</f>
        <v>40</v>
      </c>
      <c r="E5" s="9">
        <v>33071</v>
      </c>
      <c r="F5" s="32" t="s">
        <v>179</v>
      </c>
      <c r="G5" s="9" t="s">
        <v>12</v>
      </c>
      <c r="H5" s="8">
        <v>46267</v>
      </c>
      <c r="I5" s="7">
        <v>29249</v>
      </c>
      <c r="J5" s="7">
        <v>28125</v>
      </c>
      <c r="K5" s="7">
        <v>1124</v>
      </c>
      <c r="L5" s="6">
        <v>3.7999999999999999E-2</v>
      </c>
      <c r="M5" s="12">
        <f t="shared" si="0"/>
        <v>9.8406583785676766E-2</v>
      </c>
      <c r="N5" s="9"/>
    </row>
    <row r="6" spans="1:14" x14ac:dyDescent="0.3">
      <c r="A6" s="15" t="s">
        <v>103</v>
      </c>
      <c r="B6" s="20">
        <f>SUBTOTAL(9,I2:I41)</f>
        <v>334749</v>
      </c>
      <c r="E6" s="9">
        <v>33124</v>
      </c>
      <c r="F6" s="32" t="s">
        <v>285</v>
      </c>
      <c r="G6" s="9" t="s">
        <v>14</v>
      </c>
      <c r="H6" s="8">
        <v>46269</v>
      </c>
      <c r="I6" s="7">
        <v>10600</v>
      </c>
      <c r="J6" s="7">
        <v>9716</v>
      </c>
      <c r="K6" s="7">
        <v>884</v>
      </c>
      <c r="L6" s="6">
        <v>8.3000000000000004E-2</v>
      </c>
      <c r="M6" s="12">
        <f t="shared" si="0"/>
        <v>7.7394501838557173E-2</v>
      </c>
      <c r="N6" s="9"/>
    </row>
    <row r="7" spans="1:14" x14ac:dyDescent="0.3">
      <c r="A7" s="15" t="s">
        <v>101</v>
      </c>
      <c r="B7" s="20">
        <f>SUBTOTAL(9,J2:J41)</f>
        <v>326091</v>
      </c>
      <c r="E7" s="9">
        <v>32779</v>
      </c>
      <c r="F7" s="32" t="s">
        <v>293</v>
      </c>
      <c r="G7" s="9" t="s">
        <v>12</v>
      </c>
      <c r="H7" s="8">
        <v>46269</v>
      </c>
      <c r="I7" s="7">
        <v>20000</v>
      </c>
      <c r="J7" s="7">
        <v>19300</v>
      </c>
      <c r="K7" s="7">
        <v>700</v>
      </c>
      <c r="L7" s="6">
        <v>3.5000000000000003E-2</v>
      </c>
      <c r="M7" s="12">
        <f t="shared" si="0"/>
        <v>6.1285239012432151E-2</v>
      </c>
      <c r="N7" s="9"/>
    </row>
    <row r="8" spans="1:14" x14ac:dyDescent="0.3">
      <c r="A8" s="15" t="s">
        <v>99</v>
      </c>
      <c r="B8" s="20">
        <f>SUBTOTAL(9,K2:K41)</f>
        <v>11422</v>
      </c>
      <c r="E8" s="9">
        <v>33070</v>
      </c>
      <c r="F8" s="32" t="s">
        <v>292</v>
      </c>
      <c r="G8" s="9" t="s">
        <v>12</v>
      </c>
      <c r="H8" s="8">
        <v>46265</v>
      </c>
      <c r="I8" s="7">
        <v>3000</v>
      </c>
      <c r="J8" s="7">
        <v>2350</v>
      </c>
      <c r="K8" s="7">
        <v>650</v>
      </c>
      <c r="L8" s="6">
        <v>0.217</v>
      </c>
      <c r="M8" s="12">
        <f t="shared" si="0"/>
        <v>5.6907721940115563E-2</v>
      </c>
      <c r="N8" s="9"/>
    </row>
    <row r="9" spans="1:14" x14ac:dyDescent="0.3">
      <c r="A9" s="15" t="s">
        <v>98</v>
      </c>
      <c r="B9" s="18">
        <f>B8/B6</f>
        <v>3.4121087740366665E-2</v>
      </c>
      <c r="D9" s="17"/>
      <c r="E9" s="9">
        <v>32828</v>
      </c>
      <c r="F9" s="32" t="s">
        <v>173</v>
      </c>
      <c r="G9" s="9" t="s">
        <v>2</v>
      </c>
      <c r="H9" s="8">
        <v>46267</v>
      </c>
      <c r="I9" s="7">
        <v>6400</v>
      </c>
      <c r="J9" s="7">
        <v>5860</v>
      </c>
      <c r="K9" s="7">
        <v>540</v>
      </c>
      <c r="L9" s="6">
        <v>8.4000000000000005E-2</v>
      </c>
      <c r="M9" s="12">
        <f t="shared" si="0"/>
        <v>4.7277184381019084E-2</v>
      </c>
      <c r="N9" s="9"/>
    </row>
    <row r="10" spans="1:14" x14ac:dyDescent="0.3">
      <c r="A10" s="15" t="s">
        <v>96</v>
      </c>
      <c r="B10" s="9">
        <f>COUNTIF(L:L,"&gt;=5%")</f>
        <v>7</v>
      </c>
      <c r="D10" s="39"/>
      <c r="E10" s="9">
        <v>32992</v>
      </c>
      <c r="F10" s="32" t="s">
        <v>291</v>
      </c>
      <c r="G10" s="9" t="s">
        <v>150</v>
      </c>
      <c r="H10" s="8">
        <v>46267</v>
      </c>
      <c r="I10" s="7">
        <v>3300</v>
      </c>
      <c r="J10" s="7">
        <v>2925</v>
      </c>
      <c r="K10" s="7">
        <v>375</v>
      </c>
      <c r="L10" s="6">
        <v>0.114</v>
      </c>
      <c r="M10" s="12">
        <f t="shared" si="0"/>
        <v>3.2831378042374362E-2</v>
      </c>
      <c r="N10" s="9"/>
    </row>
    <row r="11" spans="1:14" x14ac:dyDescent="0.3">
      <c r="A11" s="15" t="s">
        <v>95</v>
      </c>
      <c r="B11" s="14">
        <f>B10/B5</f>
        <v>0.17499999999999999</v>
      </c>
      <c r="E11" s="9">
        <v>33094</v>
      </c>
      <c r="F11" s="32" t="s">
        <v>189</v>
      </c>
      <c r="G11" s="9" t="s">
        <v>290</v>
      </c>
      <c r="H11" s="8">
        <v>46267</v>
      </c>
      <c r="I11" s="7">
        <v>15000</v>
      </c>
      <c r="J11" s="7">
        <v>14740</v>
      </c>
      <c r="K11" s="7">
        <v>260</v>
      </c>
      <c r="L11" s="6">
        <v>1.7000000000000001E-2</v>
      </c>
      <c r="M11" s="5">
        <f t="shared" si="0"/>
        <v>2.2763088776046228E-2</v>
      </c>
      <c r="N11" s="9"/>
    </row>
    <row r="12" spans="1:14" x14ac:dyDescent="0.3">
      <c r="E12" s="9">
        <v>33041</v>
      </c>
      <c r="F12" s="32" t="s">
        <v>229</v>
      </c>
      <c r="G12" s="9" t="s">
        <v>2</v>
      </c>
      <c r="H12" s="8">
        <v>46267</v>
      </c>
      <c r="I12" s="7">
        <v>6000</v>
      </c>
      <c r="J12" s="7">
        <v>5753</v>
      </c>
      <c r="K12" s="7">
        <v>247</v>
      </c>
      <c r="L12" s="6">
        <v>4.1000000000000002E-2</v>
      </c>
      <c r="M12" s="5">
        <f t="shared" si="0"/>
        <v>2.1624934337243915E-2</v>
      </c>
      <c r="N12" s="9"/>
    </row>
    <row r="13" spans="1:14" x14ac:dyDescent="0.3">
      <c r="E13" s="9">
        <v>33053</v>
      </c>
      <c r="F13" s="32" t="s">
        <v>289</v>
      </c>
      <c r="G13" s="9" t="s">
        <v>288</v>
      </c>
      <c r="H13" s="8">
        <v>46267</v>
      </c>
      <c r="I13" s="7">
        <v>8000</v>
      </c>
      <c r="J13" s="7">
        <v>7783</v>
      </c>
      <c r="K13" s="7">
        <v>217</v>
      </c>
      <c r="L13" s="6">
        <v>2.7E-2</v>
      </c>
      <c r="M13" s="5">
        <f t="shared" si="0"/>
        <v>1.8998424093853966E-2</v>
      </c>
      <c r="N13" s="9"/>
    </row>
    <row r="14" spans="1:14" x14ac:dyDescent="0.3">
      <c r="A14" s="26" t="s">
        <v>178</v>
      </c>
      <c r="B14" s="27">
        <f>B8-'[1]31-08'!B8</f>
        <v>-8777</v>
      </c>
      <c r="E14" s="9">
        <v>33079</v>
      </c>
      <c r="F14" s="32" t="s">
        <v>273</v>
      </c>
      <c r="G14" s="9" t="s">
        <v>271</v>
      </c>
      <c r="H14" s="8">
        <v>46267</v>
      </c>
      <c r="I14" s="7">
        <v>8750</v>
      </c>
      <c r="J14" s="7">
        <v>8586</v>
      </c>
      <c r="K14" s="7">
        <v>164</v>
      </c>
      <c r="L14" s="6">
        <v>1.9E-2</v>
      </c>
      <c r="M14" s="5">
        <f t="shared" si="0"/>
        <v>1.4358255997198388E-2</v>
      </c>
      <c r="N14" s="9"/>
    </row>
    <row r="15" spans="1:14" x14ac:dyDescent="0.3">
      <c r="A15" s="26" t="s">
        <v>178</v>
      </c>
      <c r="B15" s="43">
        <f>B9-'[1]31-08'!B9</f>
        <v>6.1046003200982552E-4</v>
      </c>
      <c r="E15" s="9">
        <v>33095</v>
      </c>
      <c r="F15" s="32" t="s">
        <v>287</v>
      </c>
      <c r="G15" s="9" t="s">
        <v>286</v>
      </c>
      <c r="H15" s="8">
        <v>46267</v>
      </c>
      <c r="I15" s="7">
        <v>7600</v>
      </c>
      <c r="J15" s="7">
        <v>7470</v>
      </c>
      <c r="K15" s="7">
        <v>130</v>
      </c>
      <c r="L15" s="6">
        <v>1.7000000000000001E-2</v>
      </c>
      <c r="M15" s="5">
        <f t="shared" si="0"/>
        <v>1.1381544388023114E-2</v>
      </c>
      <c r="N15" s="9"/>
    </row>
    <row r="16" spans="1:14" x14ac:dyDescent="0.3">
      <c r="E16" s="9">
        <v>33125</v>
      </c>
      <c r="F16" s="32" t="s">
        <v>285</v>
      </c>
      <c r="G16" s="9" t="s">
        <v>14</v>
      </c>
      <c r="H16" s="8">
        <v>46269</v>
      </c>
      <c r="I16" s="7">
        <v>10600</v>
      </c>
      <c r="J16" s="7">
        <v>10475</v>
      </c>
      <c r="K16" s="7">
        <v>125</v>
      </c>
      <c r="L16" s="6">
        <v>1.2E-2</v>
      </c>
      <c r="M16" s="5">
        <f t="shared" si="0"/>
        <v>1.0943792680791455E-2</v>
      </c>
      <c r="N16" s="9"/>
    </row>
    <row r="17" spans="5:14" x14ac:dyDescent="0.3">
      <c r="E17" s="9">
        <v>33061</v>
      </c>
      <c r="F17" s="32" t="s">
        <v>279</v>
      </c>
      <c r="G17" s="9" t="s">
        <v>14</v>
      </c>
      <c r="H17" s="8">
        <v>46265</v>
      </c>
      <c r="I17" s="7">
        <v>5500</v>
      </c>
      <c r="J17" s="7">
        <v>5379</v>
      </c>
      <c r="K17" s="7">
        <v>121</v>
      </c>
      <c r="L17" s="6">
        <v>2.1999999999999999E-2</v>
      </c>
      <c r="M17" s="5">
        <f t="shared" si="0"/>
        <v>1.0593591315006128E-2</v>
      </c>
      <c r="N17" s="9"/>
    </row>
    <row r="18" spans="5:14" x14ac:dyDescent="0.3">
      <c r="E18" s="9">
        <v>33016</v>
      </c>
      <c r="F18" s="32" t="s">
        <v>284</v>
      </c>
      <c r="G18" s="9" t="s">
        <v>283</v>
      </c>
      <c r="H18" s="8">
        <v>46267</v>
      </c>
      <c r="I18" s="7">
        <v>10800</v>
      </c>
      <c r="J18" s="7">
        <v>10688</v>
      </c>
      <c r="K18" s="7">
        <v>112</v>
      </c>
      <c r="L18" s="6">
        <v>0.01</v>
      </c>
      <c r="M18" s="5">
        <f t="shared" si="0"/>
        <v>9.8056382419891442E-3</v>
      </c>
      <c r="N18" s="9"/>
    </row>
    <row r="19" spans="5:14" x14ac:dyDescent="0.3">
      <c r="E19" s="9">
        <v>33072</v>
      </c>
      <c r="F19" s="32" t="s">
        <v>274</v>
      </c>
      <c r="G19" s="9" t="s">
        <v>14</v>
      </c>
      <c r="H19" s="8">
        <v>46265</v>
      </c>
      <c r="I19" s="7">
        <v>7600</v>
      </c>
      <c r="J19" s="7">
        <v>7492</v>
      </c>
      <c r="K19" s="7">
        <v>108</v>
      </c>
      <c r="L19" s="6">
        <v>1.4E-2</v>
      </c>
      <c r="M19" s="5">
        <f t="shared" si="0"/>
        <v>9.4554368762038172E-3</v>
      </c>
      <c r="N19" s="9"/>
    </row>
    <row r="20" spans="5:14" x14ac:dyDescent="0.3">
      <c r="E20" s="9">
        <v>33057</v>
      </c>
      <c r="F20" s="32" t="s">
        <v>37</v>
      </c>
      <c r="G20" s="9" t="s">
        <v>14</v>
      </c>
      <c r="H20" s="8">
        <v>46265</v>
      </c>
      <c r="I20" s="7">
        <v>3300</v>
      </c>
      <c r="J20" s="7">
        <v>3193</v>
      </c>
      <c r="K20" s="7">
        <v>107</v>
      </c>
      <c r="L20" s="6">
        <v>3.2000000000000001E-2</v>
      </c>
      <c r="M20" s="5">
        <f t="shared" si="0"/>
        <v>9.3678865347574854E-3</v>
      </c>
      <c r="N20" s="9"/>
    </row>
    <row r="21" spans="5:14" x14ac:dyDescent="0.3">
      <c r="E21" s="9">
        <v>33073</v>
      </c>
      <c r="F21" s="32" t="s">
        <v>274</v>
      </c>
      <c r="G21" s="9" t="s">
        <v>14</v>
      </c>
      <c r="H21" s="8">
        <v>46265</v>
      </c>
      <c r="I21" s="7">
        <v>7600</v>
      </c>
      <c r="J21" s="7">
        <v>7497</v>
      </c>
      <c r="K21" s="7">
        <v>103</v>
      </c>
      <c r="L21" s="6">
        <v>1.4E-2</v>
      </c>
      <c r="M21" s="5">
        <f t="shared" si="0"/>
        <v>9.0176851689721584E-3</v>
      </c>
      <c r="N21" s="9"/>
    </row>
    <row r="22" spans="5:14" x14ac:dyDescent="0.3">
      <c r="E22" s="9">
        <v>33077</v>
      </c>
      <c r="F22" s="32" t="s">
        <v>282</v>
      </c>
      <c r="G22" s="9" t="s">
        <v>271</v>
      </c>
      <c r="H22" s="8">
        <v>46265</v>
      </c>
      <c r="I22" s="7">
        <v>2100</v>
      </c>
      <c r="J22" s="7">
        <v>2004</v>
      </c>
      <c r="K22" s="7">
        <v>96</v>
      </c>
      <c r="L22" s="6">
        <v>4.5999999999999999E-2</v>
      </c>
      <c r="M22" s="5">
        <f t="shared" si="0"/>
        <v>8.4048327788478379E-3</v>
      </c>
      <c r="N22" s="9"/>
    </row>
    <row r="23" spans="5:14" x14ac:dyDescent="0.3">
      <c r="E23" s="9">
        <v>33075</v>
      </c>
      <c r="F23" s="32" t="s">
        <v>281</v>
      </c>
      <c r="G23" s="9" t="s">
        <v>30</v>
      </c>
      <c r="H23" s="8">
        <v>46267</v>
      </c>
      <c r="I23" s="7">
        <v>5700</v>
      </c>
      <c r="J23" s="7">
        <v>5621</v>
      </c>
      <c r="K23" s="7">
        <v>79</v>
      </c>
      <c r="L23" s="6">
        <v>1.4E-2</v>
      </c>
      <c r="M23" s="5">
        <f t="shared" si="0"/>
        <v>6.9164769742601998E-3</v>
      </c>
      <c r="N23" s="9"/>
    </row>
    <row r="24" spans="5:14" x14ac:dyDescent="0.3">
      <c r="E24" s="9">
        <v>33076</v>
      </c>
      <c r="F24" s="32" t="s">
        <v>280</v>
      </c>
      <c r="G24" s="9" t="s">
        <v>271</v>
      </c>
      <c r="H24" s="8">
        <v>46265</v>
      </c>
      <c r="I24" s="7">
        <v>2000</v>
      </c>
      <c r="J24" s="7">
        <v>1923</v>
      </c>
      <c r="K24" s="7">
        <v>77</v>
      </c>
      <c r="L24" s="6">
        <v>3.9E-2</v>
      </c>
      <c r="M24" s="5">
        <f t="shared" si="0"/>
        <v>6.7413762913675363E-3</v>
      </c>
      <c r="N24" s="9"/>
    </row>
    <row r="25" spans="5:14" x14ac:dyDescent="0.3">
      <c r="E25" s="9">
        <v>33097</v>
      </c>
      <c r="F25" s="32" t="s">
        <v>202</v>
      </c>
      <c r="G25" s="9" t="s">
        <v>197</v>
      </c>
      <c r="H25" s="8">
        <v>46267</v>
      </c>
      <c r="I25" s="7">
        <v>4200</v>
      </c>
      <c r="J25" s="7">
        <v>4152</v>
      </c>
      <c r="K25" s="7">
        <v>48</v>
      </c>
      <c r="L25" s="6">
        <v>1.0999999999999999E-2</v>
      </c>
      <c r="M25" s="5">
        <f t="shared" si="0"/>
        <v>4.2024163894239189E-3</v>
      </c>
      <c r="N25" s="9"/>
    </row>
    <row r="26" spans="5:14" x14ac:dyDescent="0.3">
      <c r="E26" s="9">
        <v>33080</v>
      </c>
      <c r="F26" s="32" t="s">
        <v>273</v>
      </c>
      <c r="G26" s="9" t="s">
        <v>271</v>
      </c>
      <c r="H26" s="8">
        <v>46267</v>
      </c>
      <c r="I26" s="7">
        <v>7000</v>
      </c>
      <c r="J26" s="7">
        <v>6955</v>
      </c>
      <c r="K26" s="7">
        <v>45</v>
      </c>
      <c r="L26" s="6">
        <v>6.0000000000000001E-3</v>
      </c>
      <c r="M26" s="5">
        <f t="shared" si="0"/>
        <v>3.9397653650849237E-3</v>
      </c>
      <c r="N26" s="9"/>
    </row>
    <row r="27" spans="5:14" x14ac:dyDescent="0.3">
      <c r="E27" s="9">
        <v>33058</v>
      </c>
      <c r="F27" s="32" t="s">
        <v>279</v>
      </c>
      <c r="G27" s="9" t="s">
        <v>14</v>
      </c>
      <c r="H27" s="8">
        <v>46265</v>
      </c>
      <c r="I27" s="7">
        <v>4400</v>
      </c>
      <c r="J27" s="7">
        <v>4373</v>
      </c>
      <c r="K27" s="7">
        <v>27</v>
      </c>
      <c r="L27" s="6">
        <v>6.0000000000000001E-3</v>
      </c>
      <c r="M27" s="5">
        <f t="shared" si="0"/>
        <v>2.3638592190509543E-3</v>
      </c>
      <c r="N27" s="9"/>
    </row>
    <row r="28" spans="5:14" x14ac:dyDescent="0.3">
      <c r="E28" s="9">
        <v>33066</v>
      </c>
      <c r="F28" s="32" t="s">
        <v>37</v>
      </c>
      <c r="G28" s="9" t="s">
        <v>14</v>
      </c>
      <c r="H28" s="8">
        <v>46265</v>
      </c>
      <c r="I28" s="7">
        <v>1100</v>
      </c>
      <c r="J28" s="7">
        <v>1092</v>
      </c>
      <c r="K28" s="7">
        <v>8</v>
      </c>
      <c r="L28" s="6">
        <v>7.0000000000000001E-3</v>
      </c>
      <c r="M28" s="5">
        <f t="shared" si="0"/>
        <v>7.0040273157065316E-4</v>
      </c>
      <c r="N28" s="9"/>
    </row>
    <row r="29" spans="5:14" x14ac:dyDescent="0.3">
      <c r="E29" s="9">
        <v>32988</v>
      </c>
      <c r="F29" s="32" t="s">
        <v>218</v>
      </c>
      <c r="G29" s="9" t="s">
        <v>71</v>
      </c>
      <c r="H29" s="8">
        <v>46267</v>
      </c>
      <c r="I29" s="7">
        <v>21000</v>
      </c>
      <c r="J29" s="7">
        <v>21030</v>
      </c>
      <c r="K29" s="7">
        <v>0</v>
      </c>
      <c r="L29" s="6">
        <v>0</v>
      </c>
      <c r="M29" s="5">
        <f t="shared" si="0"/>
        <v>0</v>
      </c>
      <c r="N29" s="9"/>
    </row>
    <row r="30" spans="5:14" x14ac:dyDescent="0.3">
      <c r="E30" s="9">
        <v>33037</v>
      </c>
      <c r="F30" s="32" t="s">
        <v>278</v>
      </c>
      <c r="G30" s="9" t="s">
        <v>277</v>
      </c>
      <c r="H30" s="8">
        <v>46268</v>
      </c>
      <c r="I30" s="7">
        <v>4500</v>
      </c>
      <c r="J30" s="7">
        <v>4500</v>
      </c>
      <c r="K30" s="7">
        <v>0</v>
      </c>
      <c r="L30" s="6">
        <v>0</v>
      </c>
      <c r="M30" s="5">
        <f t="shared" si="0"/>
        <v>0</v>
      </c>
      <c r="N30" s="9"/>
    </row>
    <row r="31" spans="5:14" x14ac:dyDescent="0.3">
      <c r="E31" s="9">
        <v>33038</v>
      </c>
      <c r="F31" s="32" t="s">
        <v>257</v>
      </c>
      <c r="G31" s="9" t="s">
        <v>0</v>
      </c>
      <c r="H31" s="8">
        <v>46269</v>
      </c>
      <c r="I31" s="7">
        <v>2000</v>
      </c>
      <c r="J31" s="7">
        <v>2000</v>
      </c>
      <c r="K31" s="7">
        <v>0</v>
      </c>
      <c r="L31" s="6">
        <v>0</v>
      </c>
      <c r="M31" s="5">
        <f t="shared" si="0"/>
        <v>0</v>
      </c>
      <c r="N31" s="9"/>
    </row>
    <row r="32" spans="5:14" x14ac:dyDescent="0.3">
      <c r="E32" s="9">
        <v>33055</v>
      </c>
      <c r="F32" s="32" t="s">
        <v>276</v>
      </c>
      <c r="G32" s="9" t="s">
        <v>275</v>
      </c>
      <c r="H32" s="8">
        <v>46268</v>
      </c>
      <c r="I32" s="7">
        <v>10800</v>
      </c>
      <c r="J32" s="7">
        <v>10800</v>
      </c>
      <c r="K32" s="7">
        <v>0</v>
      </c>
      <c r="L32" s="6">
        <v>0</v>
      </c>
      <c r="M32" s="5">
        <f t="shared" si="0"/>
        <v>0</v>
      </c>
      <c r="N32" s="9"/>
    </row>
    <row r="33" spans="5:14" x14ac:dyDescent="0.3">
      <c r="E33" s="9">
        <v>33067</v>
      </c>
      <c r="F33" s="32" t="s">
        <v>129</v>
      </c>
      <c r="G33" s="9" t="s">
        <v>12</v>
      </c>
      <c r="H33" s="8">
        <v>46265</v>
      </c>
      <c r="I33" s="7">
        <v>5600</v>
      </c>
      <c r="J33" s="7">
        <v>5850</v>
      </c>
      <c r="K33" s="7">
        <v>0</v>
      </c>
      <c r="L33" s="6">
        <v>0</v>
      </c>
      <c r="M33" s="5">
        <f t="shared" si="0"/>
        <v>0</v>
      </c>
      <c r="N33" s="9"/>
    </row>
    <row r="34" spans="5:14" x14ac:dyDescent="0.3">
      <c r="E34" s="9">
        <v>33068</v>
      </c>
      <c r="F34" s="32" t="s">
        <v>17</v>
      </c>
      <c r="G34" s="9" t="s">
        <v>12</v>
      </c>
      <c r="H34" s="8">
        <v>46265</v>
      </c>
      <c r="I34" s="7">
        <v>5600</v>
      </c>
      <c r="J34" s="7">
        <v>5900</v>
      </c>
      <c r="K34" s="7">
        <v>0</v>
      </c>
      <c r="L34" s="6">
        <v>0</v>
      </c>
      <c r="M34" s="5">
        <f t="shared" si="0"/>
        <v>0</v>
      </c>
      <c r="N34" s="9"/>
    </row>
    <row r="35" spans="5:14" x14ac:dyDescent="0.3">
      <c r="E35" s="9">
        <v>33069</v>
      </c>
      <c r="F35" s="32" t="s">
        <v>32</v>
      </c>
      <c r="G35" s="9" t="s">
        <v>12</v>
      </c>
      <c r="H35" s="8">
        <v>46265</v>
      </c>
      <c r="I35" s="7">
        <v>5600</v>
      </c>
      <c r="J35" s="7">
        <v>5834</v>
      </c>
      <c r="K35" s="7">
        <v>0</v>
      </c>
      <c r="L35" s="6">
        <v>0</v>
      </c>
      <c r="M35" s="5">
        <f t="shared" si="0"/>
        <v>0</v>
      </c>
      <c r="N35" s="9"/>
    </row>
    <row r="36" spans="5:14" x14ac:dyDescent="0.3">
      <c r="E36" s="9">
        <v>33074</v>
      </c>
      <c r="F36" s="32" t="s">
        <v>274</v>
      </c>
      <c r="G36" s="9" t="s">
        <v>14</v>
      </c>
      <c r="H36" s="8">
        <v>46265</v>
      </c>
      <c r="I36" s="7">
        <v>5700</v>
      </c>
      <c r="J36" s="7">
        <v>7487</v>
      </c>
      <c r="K36" s="7">
        <v>0</v>
      </c>
      <c r="L36" s="6">
        <v>0</v>
      </c>
      <c r="M36" s="5">
        <f t="shared" si="0"/>
        <v>0</v>
      </c>
      <c r="N36" s="9"/>
    </row>
    <row r="37" spans="5:14" x14ac:dyDescent="0.3">
      <c r="E37" s="9">
        <v>33078</v>
      </c>
      <c r="F37" s="32" t="s">
        <v>273</v>
      </c>
      <c r="G37" s="9" t="s">
        <v>271</v>
      </c>
      <c r="H37" s="8">
        <v>46265</v>
      </c>
      <c r="I37" s="7">
        <v>8750</v>
      </c>
      <c r="J37" s="7">
        <v>8760</v>
      </c>
      <c r="K37" s="7">
        <v>0</v>
      </c>
      <c r="L37" s="6">
        <v>0</v>
      </c>
      <c r="M37" s="5">
        <f t="shared" si="0"/>
        <v>0</v>
      </c>
      <c r="N37" s="9"/>
    </row>
    <row r="38" spans="5:14" x14ac:dyDescent="0.3">
      <c r="E38" s="9">
        <v>33081</v>
      </c>
      <c r="F38" s="32" t="s">
        <v>272</v>
      </c>
      <c r="G38" s="9" t="s">
        <v>271</v>
      </c>
      <c r="H38" s="8">
        <v>46267</v>
      </c>
      <c r="I38" s="7">
        <v>7000</v>
      </c>
      <c r="J38" s="7">
        <v>7123</v>
      </c>
      <c r="K38" s="7">
        <v>0</v>
      </c>
      <c r="L38" s="6">
        <v>0</v>
      </c>
      <c r="M38" s="5">
        <f t="shared" si="0"/>
        <v>0</v>
      </c>
      <c r="N38" s="9"/>
    </row>
    <row r="39" spans="5:14" x14ac:dyDescent="0.3">
      <c r="E39" s="9">
        <v>33100</v>
      </c>
      <c r="F39" s="32" t="s">
        <v>183</v>
      </c>
      <c r="G39" s="9" t="s">
        <v>2</v>
      </c>
      <c r="H39" s="8">
        <v>46267</v>
      </c>
      <c r="I39" s="7">
        <v>1600</v>
      </c>
      <c r="J39" s="7">
        <v>1600</v>
      </c>
      <c r="K39" s="7">
        <v>0</v>
      </c>
      <c r="L39" s="6">
        <v>0</v>
      </c>
      <c r="M39" s="5">
        <f t="shared" si="0"/>
        <v>0</v>
      </c>
      <c r="N39" s="9"/>
    </row>
    <row r="40" spans="5:14" x14ac:dyDescent="0.3">
      <c r="E40" s="9">
        <v>33101</v>
      </c>
      <c r="F40" s="32" t="s">
        <v>3</v>
      </c>
      <c r="G40" s="9" t="s">
        <v>2</v>
      </c>
      <c r="H40" s="8">
        <v>46267</v>
      </c>
      <c r="I40" s="7">
        <v>1200</v>
      </c>
      <c r="J40" s="7">
        <v>1210</v>
      </c>
      <c r="K40" s="7">
        <v>0</v>
      </c>
      <c r="L40" s="6">
        <v>0</v>
      </c>
      <c r="M40" s="5">
        <f t="shared" si="0"/>
        <v>0</v>
      </c>
      <c r="N40" s="9"/>
    </row>
    <row r="41" spans="5:14" x14ac:dyDescent="0.3">
      <c r="E41" s="9">
        <v>33118</v>
      </c>
      <c r="F41" s="32" t="s">
        <v>141</v>
      </c>
      <c r="G41" s="9" t="s">
        <v>2</v>
      </c>
      <c r="H41" s="8">
        <v>46269</v>
      </c>
      <c r="I41" s="7">
        <v>1600</v>
      </c>
      <c r="J41" s="7">
        <v>1620</v>
      </c>
      <c r="K41" s="7">
        <v>0</v>
      </c>
      <c r="L41" s="6">
        <v>0</v>
      </c>
      <c r="M41" s="5">
        <f t="shared" si="0"/>
        <v>0</v>
      </c>
      <c r="N41" s="9"/>
    </row>
    <row r="42" spans="5:14" x14ac:dyDescent="0.3">
      <c r="E42" s="9"/>
    </row>
    <row r="43" spans="5:14" x14ac:dyDescent="0.3">
      <c r="E43" s="9"/>
    </row>
    <row r="44" spans="5:14" x14ac:dyDescent="0.3">
      <c r="E44" s="9"/>
    </row>
    <row r="45" spans="5:14" x14ac:dyDescent="0.3">
      <c r="E45" s="9"/>
    </row>
    <row r="46" spans="5:14" x14ac:dyDescent="0.3">
      <c r="E46" s="9"/>
    </row>
    <row r="47" spans="5:14" x14ac:dyDescent="0.3">
      <c r="E47" s="9"/>
    </row>
    <row r="48" spans="5:14" x14ac:dyDescent="0.3">
      <c r="E48" s="9"/>
    </row>
    <row r="49" spans="5:5" x14ac:dyDescent="0.3">
      <c r="E49" s="9"/>
    </row>
    <row r="50" spans="5:5" x14ac:dyDescent="0.3">
      <c r="E50" s="9"/>
    </row>
    <row r="51" spans="5:5" x14ac:dyDescent="0.3">
      <c r="E51" s="9"/>
    </row>
    <row r="52" spans="5:5" x14ac:dyDescent="0.3">
      <c r="E52" s="9"/>
    </row>
    <row r="53" spans="5:5" x14ac:dyDescent="0.3">
      <c r="E53" s="9"/>
    </row>
    <row r="54" spans="5:5" x14ac:dyDescent="0.3">
      <c r="E54" s="9"/>
    </row>
    <row r="55" spans="5:5" x14ac:dyDescent="0.3">
      <c r="E55" s="9"/>
    </row>
    <row r="56" spans="5:5" x14ac:dyDescent="0.3">
      <c r="E56" s="9"/>
    </row>
    <row r="57" spans="5:5" x14ac:dyDescent="0.3">
      <c r="E57" s="9"/>
    </row>
    <row r="58" spans="5:5" x14ac:dyDescent="0.3">
      <c r="E58" s="9"/>
    </row>
    <row r="59" spans="5:5" x14ac:dyDescent="0.3">
      <c r="E59" s="9"/>
    </row>
    <row r="60" spans="5:5" x14ac:dyDescent="0.3">
      <c r="E60" s="9"/>
    </row>
    <row r="61" spans="5:5" x14ac:dyDescent="0.3">
      <c r="E61" s="9"/>
    </row>
    <row r="62" spans="5:5" x14ac:dyDescent="0.3">
      <c r="E62" s="9"/>
    </row>
    <row r="63" spans="5:5" x14ac:dyDescent="0.3">
      <c r="E63" s="9"/>
    </row>
    <row r="64" spans="5:5" x14ac:dyDescent="0.3">
      <c r="E64" s="9"/>
    </row>
    <row r="65" spans="5:5" x14ac:dyDescent="0.3">
      <c r="E65" s="40"/>
    </row>
  </sheetData>
  <autoFilter ref="E1:N1" xr:uid="{ED0A2852-B90F-4E5C-9DCF-FC384D5546E0}"/>
  <mergeCells count="1">
    <mergeCell ref="A1:B1"/>
  </mergeCells>
  <conditionalFormatting sqref="D2:D6">
    <cfRule type="duplicateValues" dxfId="16" priority="3"/>
  </conditionalFormatting>
  <conditionalFormatting sqref="D7">
    <cfRule type="duplicateValues" dxfId="15" priority="2"/>
  </conditionalFormatting>
  <conditionalFormatting sqref="D8">
    <cfRule type="duplicateValues" dxfId="14" priority="1"/>
  </conditionalFormatting>
  <conditionalFormatting sqref="E2:E41">
    <cfRule type="duplicateValues" dxfId="13" priority="4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B46F-5BEA-424D-A631-E23B7DF4F7B6}">
  <sheetPr>
    <tabColor rgb="FFFF0000"/>
    <pageSetUpPr fitToPage="1"/>
  </sheetPr>
  <dimension ref="A1:N74"/>
  <sheetViews>
    <sheetView topLeftCell="F1" zoomScaleNormal="100" workbookViewId="0">
      <selection activeCell="E2" sqref="E2:E74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bestFit="1" customWidth="1"/>
    <col min="10" max="10" width="23.5546875" bestFit="1" customWidth="1"/>
    <col min="11" max="11" width="13.44140625" bestFit="1" customWidth="1"/>
    <col min="12" max="12" width="11.6640625" style="44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E1" s="23" t="s">
        <v>118</v>
      </c>
      <c r="F1" s="42" t="s">
        <v>117</v>
      </c>
      <c r="G1" s="23" t="s">
        <v>116</v>
      </c>
      <c r="H1" s="47" t="s">
        <v>115</v>
      </c>
      <c r="I1" s="23" t="s">
        <v>114</v>
      </c>
      <c r="J1" s="23" t="s">
        <v>113</v>
      </c>
      <c r="K1" s="23" t="s">
        <v>112</v>
      </c>
      <c r="L1" s="46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46270</v>
      </c>
      <c r="E2" s="9">
        <v>33149</v>
      </c>
      <c r="F2" s="32" t="s">
        <v>341</v>
      </c>
      <c r="G2" s="9" t="s">
        <v>12</v>
      </c>
      <c r="H2" s="8">
        <v>46273</v>
      </c>
      <c r="I2" s="7">
        <v>2000</v>
      </c>
      <c r="J2" s="7">
        <v>1328</v>
      </c>
      <c r="K2" s="7">
        <v>672</v>
      </c>
      <c r="L2" s="45">
        <f t="shared" ref="L2:L33" si="0">K2/I2</f>
        <v>0.33600000000000002</v>
      </c>
      <c r="M2" s="12">
        <f t="shared" ref="M2:M33" si="1">K2/$B$8</f>
        <v>3.5602649006622515E-2</v>
      </c>
      <c r="N2" s="9"/>
    </row>
    <row r="3" spans="1:14" x14ac:dyDescent="0.3">
      <c r="A3" s="15" t="s">
        <v>107</v>
      </c>
      <c r="B3" s="8">
        <v>46276</v>
      </c>
      <c r="E3" s="9">
        <v>33121</v>
      </c>
      <c r="F3" s="32" t="s">
        <v>336</v>
      </c>
      <c r="G3" s="9" t="s">
        <v>30</v>
      </c>
      <c r="H3" s="8">
        <v>46272</v>
      </c>
      <c r="I3" s="7">
        <v>6360</v>
      </c>
      <c r="J3" s="7">
        <v>4525</v>
      </c>
      <c r="K3" s="7">
        <v>1835</v>
      </c>
      <c r="L3" s="45">
        <f t="shared" si="0"/>
        <v>0.28852201257861637</v>
      </c>
      <c r="M3" s="12">
        <f t="shared" si="1"/>
        <v>9.7218543046357617E-2</v>
      </c>
      <c r="N3" s="9"/>
    </row>
    <row r="4" spans="1:14" x14ac:dyDescent="0.3">
      <c r="E4" s="9">
        <v>33167</v>
      </c>
      <c r="F4" s="32" t="s">
        <v>309</v>
      </c>
      <c r="G4" s="9" t="s">
        <v>308</v>
      </c>
      <c r="H4" s="8">
        <v>46275</v>
      </c>
      <c r="I4" s="7">
        <v>7600</v>
      </c>
      <c r="J4" s="7">
        <v>6175</v>
      </c>
      <c r="K4" s="7">
        <v>1425</v>
      </c>
      <c r="L4" s="45">
        <f t="shared" si="0"/>
        <v>0.1875</v>
      </c>
      <c r="M4" s="12">
        <f t="shared" si="1"/>
        <v>7.5496688741721857E-2</v>
      </c>
      <c r="N4" s="9"/>
    </row>
    <row r="5" spans="1:14" x14ac:dyDescent="0.3">
      <c r="A5" s="15" t="s">
        <v>105</v>
      </c>
      <c r="B5" s="9">
        <f>SUBTOTAL(3,E2:E1048576)</f>
        <v>73</v>
      </c>
      <c r="E5" s="22">
        <v>32993</v>
      </c>
      <c r="F5" s="32" t="s">
        <v>340</v>
      </c>
      <c r="G5" s="9" t="s">
        <v>150</v>
      </c>
      <c r="H5" s="8">
        <v>46274</v>
      </c>
      <c r="I5" s="7">
        <v>4240</v>
      </c>
      <c r="J5" s="7">
        <v>3631</v>
      </c>
      <c r="K5" s="7">
        <v>609</v>
      </c>
      <c r="L5" s="45">
        <f t="shared" si="0"/>
        <v>0.14363207547169812</v>
      </c>
      <c r="M5" s="12">
        <f t="shared" si="1"/>
        <v>3.2264900662251655E-2</v>
      </c>
      <c r="N5" s="9"/>
    </row>
    <row r="6" spans="1:14" x14ac:dyDescent="0.3">
      <c r="A6" s="15" t="s">
        <v>103</v>
      </c>
      <c r="B6" s="20">
        <f>SUBTOTAL(9,I:I)</f>
        <v>512330</v>
      </c>
      <c r="E6" s="9">
        <v>32989</v>
      </c>
      <c r="F6" s="32" t="s">
        <v>339</v>
      </c>
      <c r="G6" s="9" t="s">
        <v>338</v>
      </c>
      <c r="H6" s="8">
        <v>46272</v>
      </c>
      <c r="I6" s="7">
        <v>1900</v>
      </c>
      <c r="J6" s="7">
        <v>1668</v>
      </c>
      <c r="K6" s="7">
        <v>232</v>
      </c>
      <c r="L6" s="45">
        <f t="shared" si="0"/>
        <v>0.12210526315789473</v>
      </c>
      <c r="M6" s="12">
        <f t="shared" si="1"/>
        <v>1.2291390728476822E-2</v>
      </c>
      <c r="N6" s="9"/>
    </row>
    <row r="7" spans="1:14" x14ac:dyDescent="0.3">
      <c r="A7" s="15" t="s">
        <v>101</v>
      </c>
      <c r="B7" s="20">
        <f>SUBTOTAL(9,J:J)</f>
        <v>494912</v>
      </c>
      <c r="E7" s="9">
        <v>33157</v>
      </c>
      <c r="F7" s="32" t="s">
        <v>337</v>
      </c>
      <c r="G7" s="9" t="s">
        <v>222</v>
      </c>
      <c r="H7" s="8">
        <v>46275</v>
      </c>
      <c r="I7" s="7">
        <v>4260</v>
      </c>
      <c r="J7" s="7">
        <v>3787</v>
      </c>
      <c r="K7" s="7">
        <v>473</v>
      </c>
      <c r="L7" s="45">
        <f t="shared" si="0"/>
        <v>0.11103286384976525</v>
      </c>
      <c r="M7" s="12">
        <f t="shared" si="1"/>
        <v>2.5059602649006623E-2</v>
      </c>
      <c r="N7" s="9"/>
    </row>
    <row r="8" spans="1:14" x14ac:dyDescent="0.3">
      <c r="A8" s="15" t="s">
        <v>99</v>
      </c>
      <c r="B8" s="20">
        <f>SUBTOTAL(9,K:K)</f>
        <v>18875</v>
      </c>
      <c r="E8" s="9">
        <v>32997</v>
      </c>
      <c r="F8" s="32" t="s">
        <v>335</v>
      </c>
      <c r="G8" s="9" t="s">
        <v>2</v>
      </c>
      <c r="H8" s="8">
        <v>46273</v>
      </c>
      <c r="I8" s="7">
        <v>4200</v>
      </c>
      <c r="J8" s="7">
        <v>3800</v>
      </c>
      <c r="K8" s="7">
        <v>400</v>
      </c>
      <c r="L8" s="45">
        <f t="shared" si="0"/>
        <v>9.5238095238095233E-2</v>
      </c>
      <c r="M8" s="12">
        <f t="shared" si="1"/>
        <v>2.119205298013245E-2</v>
      </c>
      <c r="N8" s="9"/>
    </row>
    <row r="9" spans="1:14" x14ac:dyDescent="0.3">
      <c r="A9" s="15" t="s">
        <v>98</v>
      </c>
      <c r="B9" s="18">
        <f>B8/B6</f>
        <v>3.684148888411766E-2</v>
      </c>
      <c r="D9" s="17"/>
      <c r="E9" s="9">
        <v>32996</v>
      </c>
      <c r="F9" s="32" t="s">
        <v>335</v>
      </c>
      <c r="G9" s="9" t="s">
        <v>2</v>
      </c>
      <c r="H9" s="8">
        <v>46273</v>
      </c>
      <c r="I9" s="7">
        <v>4800</v>
      </c>
      <c r="J9" s="7">
        <v>4375</v>
      </c>
      <c r="K9" s="7">
        <v>425</v>
      </c>
      <c r="L9" s="45">
        <f t="shared" si="0"/>
        <v>8.8541666666666671E-2</v>
      </c>
      <c r="M9" s="12">
        <f t="shared" si="1"/>
        <v>2.2516556291390728E-2</v>
      </c>
      <c r="N9" s="9"/>
    </row>
    <row r="10" spans="1:14" x14ac:dyDescent="0.3">
      <c r="A10" s="15" t="s">
        <v>96</v>
      </c>
      <c r="B10" s="9">
        <f>COUNTIF(L:L,"&gt;=5%")</f>
        <v>21</v>
      </c>
      <c r="D10" s="39"/>
      <c r="E10" s="9">
        <v>32970</v>
      </c>
      <c r="F10" s="32" t="s">
        <v>250</v>
      </c>
      <c r="G10" s="9" t="s">
        <v>176</v>
      </c>
      <c r="H10" s="8">
        <v>46273</v>
      </c>
      <c r="I10" s="7">
        <v>16000</v>
      </c>
      <c r="J10" s="7">
        <v>14809</v>
      </c>
      <c r="K10" s="7">
        <v>1191</v>
      </c>
      <c r="L10" s="45">
        <f t="shared" si="0"/>
        <v>7.4437500000000004E-2</v>
      </c>
      <c r="M10" s="12">
        <f t="shared" si="1"/>
        <v>6.3099337748344364E-2</v>
      </c>
      <c r="N10" s="9"/>
    </row>
    <row r="11" spans="1:14" x14ac:dyDescent="0.3">
      <c r="A11" s="15" t="s">
        <v>95</v>
      </c>
      <c r="B11" s="14">
        <f>B10/B5</f>
        <v>0.28767123287671231</v>
      </c>
      <c r="E11" s="9">
        <v>33138</v>
      </c>
      <c r="F11" s="32" t="s">
        <v>321</v>
      </c>
      <c r="G11" s="9" t="s">
        <v>30</v>
      </c>
      <c r="H11" s="8">
        <v>46273</v>
      </c>
      <c r="I11" s="7">
        <v>6400</v>
      </c>
      <c r="J11" s="7">
        <v>5948</v>
      </c>
      <c r="K11" s="7">
        <v>452</v>
      </c>
      <c r="L11" s="45">
        <f t="shared" si="0"/>
        <v>7.0624999999999993E-2</v>
      </c>
      <c r="M11" s="12">
        <f t="shared" si="1"/>
        <v>2.3947019867549667E-2</v>
      </c>
      <c r="N11" s="9"/>
    </row>
    <row r="12" spans="1:14" x14ac:dyDescent="0.3">
      <c r="E12" s="9">
        <v>33122</v>
      </c>
      <c r="F12" s="32" t="s">
        <v>336</v>
      </c>
      <c r="G12" s="9" t="s">
        <v>30</v>
      </c>
      <c r="H12" s="8">
        <v>46273</v>
      </c>
      <c r="I12" s="7">
        <v>6360</v>
      </c>
      <c r="J12" s="7">
        <v>5924</v>
      </c>
      <c r="K12" s="7">
        <v>436</v>
      </c>
      <c r="L12" s="45">
        <f t="shared" si="0"/>
        <v>6.8553459119496854E-2</v>
      </c>
      <c r="M12" s="12">
        <f t="shared" si="1"/>
        <v>2.309933774834437E-2</v>
      </c>
      <c r="N12" s="9"/>
    </row>
    <row r="13" spans="1:14" x14ac:dyDescent="0.3">
      <c r="E13" s="9">
        <v>32999</v>
      </c>
      <c r="F13" s="32" t="s">
        <v>335</v>
      </c>
      <c r="G13" s="9" t="s">
        <v>2</v>
      </c>
      <c r="H13" s="8">
        <v>46273</v>
      </c>
      <c r="I13" s="7">
        <v>4800</v>
      </c>
      <c r="J13" s="7">
        <v>4475</v>
      </c>
      <c r="K13" s="7">
        <v>325</v>
      </c>
      <c r="L13" s="45">
        <f t="shared" si="0"/>
        <v>6.7708333333333329E-2</v>
      </c>
      <c r="M13" s="12">
        <f t="shared" si="1"/>
        <v>1.7218543046357615E-2</v>
      </c>
      <c r="N13" s="9"/>
    </row>
    <row r="14" spans="1:14" x14ac:dyDescent="0.3">
      <c r="A14" s="26" t="s">
        <v>178</v>
      </c>
      <c r="B14" s="27">
        <f>B8-'[1]07-09'!B8</f>
        <v>7453</v>
      </c>
      <c r="E14" s="9">
        <v>32998</v>
      </c>
      <c r="F14" s="32" t="s">
        <v>335</v>
      </c>
      <c r="G14" s="9" t="s">
        <v>2</v>
      </c>
      <c r="H14" s="8">
        <v>46273</v>
      </c>
      <c r="I14" s="7">
        <v>3000</v>
      </c>
      <c r="J14" s="7">
        <v>2800</v>
      </c>
      <c r="K14" s="7">
        <v>200</v>
      </c>
      <c r="L14" s="45">
        <f t="shared" si="0"/>
        <v>6.6666666666666666E-2</v>
      </c>
      <c r="M14" s="12">
        <f t="shared" si="1"/>
        <v>1.0596026490066225E-2</v>
      </c>
      <c r="N14" s="9"/>
    </row>
    <row r="15" spans="1:14" x14ac:dyDescent="0.3">
      <c r="A15" s="26" t="s">
        <v>178</v>
      </c>
      <c r="B15" s="25">
        <f>B9-'[1]07-09'!B9</f>
        <v>2.7204011437509945E-3</v>
      </c>
      <c r="E15" s="9">
        <v>33087</v>
      </c>
      <c r="F15" s="32" t="s">
        <v>334</v>
      </c>
      <c r="G15" s="9" t="s">
        <v>313</v>
      </c>
      <c r="H15" s="8">
        <v>46276</v>
      </c>
      <c r="I15" s="7">
        <v>8000</v>
      </c>
      <c r="J15" s="7">
        <v>7500</v>
      </c>
      <c r="K15" s="7">
        <v>500</v>
      </c>
      <c r="L15" s="45">
        <f t="shared" si="0"/>
        <v>6.25E-2</v>
      </c>
      <c r="M15" s="12">
        <f t="shared" si="1"/>
        <v>2.6490066225165563E-2</v>
      </c>
      <c r="N15" s="9"/>
    </row>
    <row r="16" spans="1:14" x14ac:dyDescent="0.3">
      <c r="E16" s="9">
        <v>33123</v>
      </c>
      <c r="F16" s="32" t="s">
        <v>333</v>
      </c>
      <c r="G16" s="9" t="s">
        <v>30</v>
      </c>
      <c r="H16" s="8">
        <v>46273</v>
      </c>
      <c r="I16" s="7">
        <v>4240</v>
      </c>
      <c r="J16" s="7">
        <v>3973</v>
      </c>
      <c r="K16" s="7">
        <v>267</v>
      </c>
      <c r="L16" s="45">
        <f t="shared" si="0"/>
        <v>6.2971698113207547E-2</v>
      </c>
      <c r="M16" s="12">
        <f t="shared" si="1"/>
        <v>1.414569536423841E-2</v>
      </c>
      <c r="N16" s="9"/>
    </row>
    <row r="17" spans="5:14" x14ac:dyDescent="0.3">
      <c r="E17" s="9">
        <v>33145</v>
      </c>
      <c r="F17" s="32" t="s">
        <v>307</v>
      </c>
      <c r="G17" s="9" t="s">
        <v>12</v>
      </c>
      <c r="H17" s="8">
        <v>46273</v>
      </c>
      <c r="I17" s="9">
        <v>1500</v>
      </c>
      <c r="J17" s="9">
        <v>1410</v>
      </c>
      <c r="K17" s="9">
        <v>90</v>
      </c>
      <c r="L17" s="45">
        <f t="shared" si="0"/>
        <v>0.06</v>
      </c>
      <c r="M17" s="12">
        <f t="shared" si="1"/>
        <v>4.7682119205298013E-3</v>
      </c>
      <c r="N17" s="9"/>
    </row>
    <row r="18" spans="5:14" x14ac:dyDescent="0.3">
      <c r="E18" s="9">
        <v>33119</v>
      </c>
      <c r="F18" s="32" t="s">
        <v>332</v>
      </c>
      <c r="G18" s="9" t="s">
        <v>185</v>
      </c>
      <c r="H18" s="8">
        <v>46275</v>
      </c>
      <c r="I18" s="9">
        <v>2000</v>
      </c>
      <c r="J18" s="9">
        <v>1884</v>
      </c>
      <c r="K18" s="9">
        <v>116</v>
      </c>
      <c r="L18" s="45">
        <f t="shared" si="0"/>
        <v>5.8000000000000003E-2</v>
      </c>
      <c r="M18" s="12">
        <f t="shared" si="1"/>
        <v>6.1456953642384108E-3</v>
      </c>
      <c r="N18" s="9"/>
    </row>
    <row r="19" spans="5:14" x14ac:dyDescent="0.3">
      <c r="E19" s="22">
        <v>33158</v>
      </c>
      <c r="F19" s="32" t="s">
        <v>331</v>
      </c>
      <c r="G19" s="9" t="s">
        <v>222</v>
      </c>
      <c r="H19" s="8">
        <v>46274</v>
      </c>
      <c r="I19" s="7">
        <v>3800</v>
      </c>
      <c r="J19" s="7">
        <v>3599</v>
      </c>
      <c r="K19" s="7">
        <v>201</v>
      </c>
      <c r="L19" s="45">
        <f t="shared" si="0"/>
        <v>5.2894736842105265E-2</v>
      </c>
      <c r="M19" s="12">
        <f t="shared" si="1"/>
        <v>1.0649006622516556E-2</v>
      </c>
      <c r="N19" s="9"/>
    </row>
    <row r="20" spans="5:14" x14ac:dyDescent="0.3">
      <c r="E20" s="22">
        <v>33154</v>
      </c>
      <c r="F20" s="32" t="s">
        <v>330</v>
      </c>
      <c r="G20" s="9" t="s">
        <v>329</v>
      </c>
      <c r="H20" s="8">
        <v>46274</v>
      </c>
      <c r="I20" s="9">
        <v>2100</v>
      </c>
      <c r="J20" s="9">
        <v>1989</v>
      </c>
      <c r="K20" s="9">
        <v>111</v>
      </c>
      <c r="L20" s="45">
        <f t="shared" si="0"/>
        <v>5.2857142857142859E-2</v>
      </c>
      <c r="M20" s="12">
        <f t="shared" si="1"/>
        <v>5.8807947019867551E-3</v>
      </c>
      <c r="N20" s="9"/>
    </row>
    <row r="21" spans="5:14" x14ac:dyDescent="0.3">
      <c r="E21" s="9">
        <v>33083</v>
      </c>
      <c r="F21" s="32" t="s">
        <v>328</v>
      </c>
      <c r="G21" s="9" t="s">
        <v>327</v>
      </c>
      <c r="H21" s="8">
        <v>46273</v>
      </c>
      <c r="I21" s="7">
        <v>18000</v>
      </c>
      <c r="J21" s="7">
        <v>17070</v>
      </c>
      <c r="K21" s="7">
        <v>930</v>
      </c>
      <c r="L21" s="45">
        <f t="shared" si="0"/>
        <v>5.1666666666666666E-2</v>
      </c>
      <c r="M21" s="12">
        <f t="shared" si="1"/>
        <v>4.9271523178807945E-2</v>
      </c>
      <c r="N21" s="9"/>
    </row>
    <row r="22" spans="5:14" x14ac:dyDescent="0.3">
      <c r="E22" s="9">
        <v>33159</v>
      </c>
      <c r="F22" s="32" t="s">
        <v>326</v>
      </c>
      <c r="G22" s="9" t="s">
        <v>222</v>
      </c>
      <c r="H22" s="8">
        <v>46275</v>
      </c>
      <c r="I22" s="7">
        <v>3800</v>
      </c>
      <c r="J22" s="7">
        <v>3607</v>
      </c>
      <c r="K22" s="7">
        <v>193</v>
      </c>
      <c r="L22" s="45">
        <f t="shared" si="0"/>
        <v>5.0789473684210523E-2</v>
      </c>
      <c r="M22" s="12">
        <f t="shared" si="1"/>
        <v>1.0225165562913908E-2</v>
      </c>
      <c r="N22" s="9"/>
    </row>
    <row r="23" spans="5:14" x14ac:dyDescent="0.3">
      <c r="E23" s="22">
        <v>32960</v>
      </c>
      <c r="F23" s="32" t="s">
        <v>250</v>
      </c>
      <c r="G23" s="9" t="s">
        <v>176</v>
      </c>
      <c r="H23" s="8">
        <v>46274</v>
      </c>
      <c r="I23" s="7">
        <v>16000</v>
      </c>
      <c r="J23" s="7">
        <v>15234</v>
      </c>
      <c r="K23" s="7">
        <v>766</v>
      </c>
      <c r="L23" s="45">
        <f t="shared" si="0"/>
        <v>4.7875000000000001E-2</v>
      </c>
      <c r="M23" s="12">
        <f t="shared" si="1"/>
        <v>4.058278145695364E-2</v>
      </c>
      <c r="N23" s="9"/>
    </row>
    <row r="24" spans="5:14" x14ac:dyDescent="0.3">
      <c r="E24" s="9">
        <v>32957</v>
      </c>
      <c r="F24" s="32" t="s">
        <v>325</v>
      </c>
      <c r="G24" s="9" t="s">
        <v>12</v>
      </c>
      <c r="H24" s="8">
        <v>46273</v>
      </c>
      <c r="I24" s="7">
        <v>12600</v>
      </c>
      <c r="J24" s="7">
        <v>11990</v>
      </c>
      <c r="K24" s="7">
        <v>610</v>
      </c>
      <c r="L24" s="45">
        <f t="shared" si="0"/>
        <v>4.8412698412698414E-2</v>
      </c>
      <c r="M24" s="12">
        <f t="shared" si="1"/>
        <v>3.2317880794701985E-2</v>
      </c>
      <c r="N24" s="9"/>
    </row>
    <row r="25" spans="5:14" x14ac:dyDescent="0.3">
      <c r="E25" s="9">
        <v>33140</v>
      </c>
      <c r="F25" s="32" t="s">
        <v>322</v>
      </c>
      <c r="G25" s="9" t="s">
        <v>30</v>
      </c>
      <c r="H25" s="8">
        <v>46273</v>
      </c>
      <c r="I25" s="7">
        <v>8640</v>
      </c>
      <c r="J25" s="7">
        <v>8276</v>
      </c>
      <c r="K25" s="7">
        <v>364</v>
      </c>
      <c r="L25" s="45">
        <f t="shared" si="0"/>
        <v>4.2129629629629628E-2</v>
      </c>
      <c r="M25" s="5">
        <f t="shared" si="1"/>
        <v>1.928476821192053E-2</v>
      </c>
      <c r="N25" s="9"/>
    </row>
    <row r="26" spans="5:14" x14ac:dyDescent="0.3">
      <c r="E26" s="9">
        <v>33091</v>
      </c>
      <c r="F26" s="32" t="s">
        <v>317</v>
      </c>
      <c r="G26" s="9" t="s">
        <v>313</v>
      </c>
      <c r="H26" s="8">
        <v>46274</v>
      </c>
      <c r="I26" s="7">
        <v>10000</v>
      </c>
      <c r="J26" s="7">
        <v>9600</v>
      </c>
      <c r="K26" s="7">
        <v>400</v>
      </c>
      <c r="L26" s="45">
        <f t="shared" si="0"/>
        <v>0.04</v>
      </c>
      <c r="M26" s="5">
        <f t="shared" si="1"/>
        <v>2.119205298013245E-2</v>
      </c>
      <c r="N26" s="9"/>
    </row>
    <row r="27" spans="5:14" x14ac:dyDescent="0.3">
      <c r="E27" s="9">
        <v>33126</v>
      </c>
      <c r="F27" s="32" t="s">
        <v>285</v>
      </c>
      <c r="G27" s="9" t="s">
        <v>14</v>
      </c>
      <c r="H27" s="8">
        <v>46272</v>
      </c>
      <c r="I27" s="7">
        <v>6490</v>
      </c>
      <c r="J27" s="7">
        <v>6237</v>
      </c>
      <c r="K27" s="7">
        <v>253</v>
      </c>
      <c r="L27" s="45">
        <f t="shared" si="0"/>
        <v>3.898305084745763E-2</v>
      </c>
      <c r="M27" s="5">
        <f t="shared" si="1"/>
        <v>1.3403973509933775E-2</v>
      </c>
      <c r="N27" s="9"/>
    </row>
    <row r="28" spans="5:14" x14ac:dyDescent="0.3">
      <c r="E28" s="9">
        <v>33090</v>
      </c>
      <c r="F28" s="32" t="s">
        <v>317</v>
      </c>
      <c r="G28" s="9" t="s">
        <v>313</v>
      </c>
      <c r="H28" s="8">
        <v>46275</v>
      </c>
      <c r="I28" s="7">
        <v>12000</v>
      </c>
      <c r="J28" s="7">
        <v>11550</v>
      </c>
      <c r="K28" s="7">
        <v>450</v>
      </c>
      <c r="L28" s="45">
        <f t="shared" si="0"/>
        <v>3.7499999999999999E-2</v>
      </c>
      <c r="M28" s="5">
        <f t="shared" si="1"/>
        <v>2.3841059602649008E-2</v>
      </c>
      <c r="N28" s="9"/>
    </row>
    <row r="29" spans="5:14" x14ac:dyDescent="0.3">
      <c r="E29" s="9">
        <v>33135</v>
      </c>
      <c r="F29" s="32" t="s">
        <v>312</v>
      </c>
      <c r="G29" s="9" t="s">
        <v>14</v>
      </c>
      <c r="H29" s="8">
        <v>46274</v>
      </c>
      <c r="I29" s="7">
        <v>9500</v>
      </c>
      <c r="J29" s="7">
        <v>9139</v>
      </c>
      <c r="K29" s="7">
        <v>361</v>
      </c>
      <c r="L29" s="45">
        <f t="shared" si="0"/>
        <v>3.7999999999999999E-2</v>
      </c>
      <c r="M29" s="5">
        <f t="shared" si="1"/>
        <v>1.9125827814569535E-2</v>
      </c>
      <c r="N29" s="9"/>
    </row>
    <row r="30" spans="5:14" x14ac:dyDescent="0.3">
      <c r="E30" s="9">
        <v>33194</v>
      </c>
      <c r="F30" s="32" t="s">
        <v>324</v>
      </c>
      <c r="G30" s="9" t="s">
        <v>2</v>
      </c>
      <c r="H30" s="8">
        <v>46276</v>
      </c>
      <c r="I30" s="7">
        <v>6000</v>
      </c>
      <c r="J30" s="7">
        <v>5775</v>
      </c>
      <c r="K30" s="7">
        <v>225</v>
      </c>
      <c r="L30" s="45">
        <f t="shared" si="0"/>
        <v>3.7499999999999999E-2</v>
      </c>
      <c r="M30" s="5">
        <f t="shared" si="1"/>
        <v>1.1920529801324504E-2</v>
      </c>
      <c r="N30" s="9"/>
    </row>
    <row r="31" spans="5:14" x14ac:dyDescent="0.3">
      <c r="E31" s="9">
        <v>33155</v>
      </c>
      <c r="F31" s="32" t="s">
        <v>282</v>
      </c>
      <c r="G31" s="9" t="s">
        <v>22</v>
      </c>
      <c r="H31" s="8">
        <v>46274</v>
      </c>
      <c r="I31" s="9">
        <v>2100</v>
      </c>
      <c r="J31" s="9">
        <v>2020</v>
      </c>
      <c r="K31" s="9">
        <v>80</v>
      </c>
      <c r="L31" s="45">
        <f t="shared" si="0"/>
        <v>3.8095238095238099E-2</v>
      </c>
      <c r="M31" s="5">
        <f t="shared" si="1"/>
        <v>4.2384105960264901E-3</v>
      </c>
      <c r="N31" s="9"/>
    </row>
    <row r="32" spans="5:14" x14ac:dyDescent="0.3">
      <c r="E32" s="9">
        <v>33131</v>
      </c>
      <c r="F32" s="32" t="s">
        <v>319</v>
      </c>
      <c r="G32" s="9" t="s">
        <v>14</v>
      </c>
      <c r="H32" s="8">
        <v>46273</v>
      </c>
      <c r="I32" s="7">
        <v>8640</v>
      </c>
      <c r="J32" s="7">
        <v>8356</v>
      </c>
      <c r="K32" s="7">
        <v>284</v>
      </c>
      <c r="L32" s="45">
        <f t="shared" si="0"/>
        <v>3.2870370370370369E-2</v>
      </c>
      <c r="M32" s="5">
        <f t="shared" si="1"/>
        <v>1.504635761589404E-2</v>
      </c>
      <c r="N32" s="9"/>
    </row>
    <row r="33" spans="5:14" x14ac:dyDescent="0.3">
      <c r="E33" s="9">
        <v>33160</v>
      </c>
      <c r="F33" s="32" t="s">
        <v>323</v>
      </c>
      <c r="G33" s="9" t="s">
        <v>222</v>
      </c>
      <c r="H33" s="8">
        <v>46273</v>
      </c>
      <c r="I33" s="9">
        <v>2200</v>
      </c>
      <c r="J33" s="9">
        <v>2127</v>
      </c>
      <c r="K33" s="9">
        <v>73</v>
      </c>
      <c r="L33" s="45">
        <f t="shared" si="0"/>
        <v>3.318181818181818E-2</v>
      </c>
      <c r="M33" s="5">
        <f t="shared" si="1"/>
        <v>3.8675496688741723E-3</v>
      </c>
      <c r="N33" s="9"/>
    </row>
    <row r="34" spans="5:14" x14ac:dyDescent="0.3">
      <c r="E34" s="9">
        <v>33120</v>
      </c>
      <c r="F34" s="32" t="s">
        <v>287</v>
      </c>
      <c r="G34" s="9" t="s">
        <v>286</v>
      </c>
      <c r="H34" s="8">
        <v>46273</v>
      </c>
      <c r="I34" s="9">
        <v>3800</v>
      </c>
      <c r="J34" s="9">
        <v>3680</v>
      </c>
      <c r="K34" s="9">
        <v>120</v>
      </c>
      <c r="L34" s="45">
        <f t="shared" ref="L34:L65" si="2">K34/I34</f>
        <v>3.1578947368421054E-2</v>
      </c>
      <c r="M34" s="5">
        <f t="shared" ref="M34:M65" si="3">K34/$B$8</f>
        <v>6.3576158940397351E-3</v>
      </c>
      <c r="N34" s="9"/>
    </row>
    <row r="35" spans="5:14" x14ac:dyDescent="0.3">
      <c r="E35" s="9">
        <v>33165</v>
      </c>
      <c r="F35" s="32" t="s">
        <v>309</v>
      </c>
      <c r="G35" s="9" t="s">
        <v>308</v>
      </c>
      <c r="H35" s="8">
        <v>46275</v>
      </c>
      <c r="I35" s="7">
        <v>7600</v>
      </c>
      <c r="J35" s="7">
        <v>7366</v>
      </c>
      <c r="K35" s="7">
        <v>234</v>
      </c>
      <c r="L35" s="45">
        <f t="shared" si="2"/>
        <v>3.0789473684210526E-2</v>
      </c>
      <c r="M35" s="5">
        <f t="shared" si="3"/>
        <v>1.2397350993377484E-2</v>
      </c>
      <c r="N35" s="9"/>
    </row>
    <row r="36" spans="5:14" x14ac:dyDescent="0.3">
      <c r="E36" s="9">
        <v>33141</v>
      </c>
      <c r="F36" s="32" t="s">
        <v>322</v>
      </c>
      <c r="G36" s="9" t="s">
        <v>30</v>
      </c>
      <c r="H36" s="8">
        <v>46273</v>
      </c>
      <c r="I36" s="7">
        <v>6360</v>
      </c>
      <c r="J36" s="7">
        <v>6171</v>
      </c>
      <c r="K36" s="7">
        <v>189</v>
      </c>
      <c r="L36" s="45">
        <f t="shared" si="2"/>
        <v>2.9716981132075472E-2</v>
      </c>
      <c r="M36" s="5">
        <f t="shared" si="3"/>
        <v>1.0013245033112583E-2</v>
      </c>
      <c r="N36" s="9"/>
    </row>
    <row r="37" spans="5:14" x14ac:dyDescent="0.3">
      <c r="E37" s="9">
        <v>33130</v>
      </c>
      <c r="F37" s="32" t="s">
        <v>319</v>
      </c>
      <c r="G37" s="9" t="s">
        <v>14</v>
      </c>
      <c r="H37" s="8">
        <v>46273</v>
      </c>
      <c r="I37" s="7">
        <v>8610</v>
      </c>
      <c r="J37" s="7">
        <v>8358</v>
      </c>
      <c r="K37" s="7">
        <v>252</v>
      </c>
      <c r="L37" s="45">
        <f t="shared" si="2"/>
        <v>2.9268292682926831E-2</v>
      </c>
      <c r="M37" s="5">
        <f t="shared" si="3"/>
        <v>1.3350993377483444E-2</v>
      </c>
      <c r="N37" s="9"/>
    </row>
    <row r="38" spans="5:14" x14ac:dyDescent="0.3">
      <c r="E38" s="9">
        <v>33163</v>
      </c>
      <c r="F38" s="32" t="s">
        <v>309</v>
      </c>
      <c r="G38" s="9" t="s">
        <v>308</v>
      </c>
      <c r="H38" s="8">
        <v>46275</v>
      </c>
      <c r="I38" s="7">
        <v>7600</v>
      </c>
      <c r="J38" s="7">
        <v>7381</v>
      </c>
      <c r="K38" s="7">
        <v>219</v>
      </c>
      <c r="L38" s="45">
        <f t="shared" si="2"/>
        <v>2.8815789473684211E-2</v>
      </c>
      <c r="M38" s="5">
        <f t="shared" si="3"/>
        <v>1.1602649006622516E-2</v>
      </c>
      <c r="N38" s="9"/>
    </row>
    <row r="39" spans="5:14" x14ac:dyDescent="0.3">
      <c r="E39" s="9">
        <v>33096</v>
      </c>
      <c r="F39" s="32" t="s">
        <v>287</v>
      </c>
      <c r="G39" s="9" t="s">
        <v>286</v>
      </c>
      <c r="H39" s="8">
        <v>46273</v>
      </c>
      <c r="I39" s="9">
        <v>3800</v>
      </c>
      <c r="J39" s="9">
        <v>3691</v>
      </c>
      <c r="K39" s="9">
        <v>109</v>
      </c>
      <c r="L39" s="45">
        <f t="shared" si="2"/>
        <v>2.8684210526315788E-2</v>
      </c>
      <c r="M39" s="5">
        <f t="shared" si="3"/>
        <v>5.7748344370860925E-3</v>
      </c>
      <c r="N39" s="9"/>
    </row>
    <row r="40" spans="5:14" x14ac:dyDescent="0.3">
      <c r="E40" s="9">
        <v>33139</v>
      </c>
      <c r="F40" s="32" t="s">
        <v>321</v>
      </c>
      <c r="G40" s="9" t="s">
        <v>30</v>
      </c>
      <c r="H40" s="8">
        <v>46273</v>
      </c>
      <c r="I40" s="7">
        <v>6360</v>
      </c>
      <c r="J40" s="7">
        <v>6194</v>
      </c>
      <c r="K40" s="7">
        <v>166</v>
      </c>
      <c r="L40" s="45">
        <f t="shared" si="2"/>
        <v>2.6100628930817611E-2</v>
      </c>
      <c r="M40" s="5">
        <f t="shared" si="3"/>
        <v>8.7947019867549662E-3</v>
      </c>
      <c r="N40" s="9"/>
    </row>
    <row r="41" spans="5:14" x14ac:dyDescent="0.3">
      <c r="E41" s="9">
        <v>33128</v>
      </c>
      <c r="F41" s="32" t="s">
        <v>319</v>
      </c>
      <c r="G41" s="9" t="s">
        <v>14</v>
      </c>
      <c r="H41" s="8">
        <v>46272</v>
      </c>
      <c r="I41" s="7">
        <v>8620</v>
      </c>
      <c r="J41" s="7">
        <v>8401</v>
      </c>
      <c r="K41" s="7">
        <v>219</v>
      </c>
      <c r="L41" s="45">
        <f t="shared" si="2"/>
        <v>2.5406032482598609E-2</v>
      </c>
      <c r="M41" s="5">
        <f t="shared" si="3"/>
        <v>1.1602649006622516E-2</v>
      </c>
      <c r="N41" s="9"/>
    </row>
    <row r="42" spans="5:14" x14ac:dyDescent="0.3">
      <c r="E42" s="9">
        <v>33137</v>
      </c>
      <c r="F42" s="9" t="s">
        <v>312</v>
      </c>
      <c r="G42" s="9" t="s">
        <v>14</v>
      </c>
      <c r="H42" s="8">
        <v>46275</v>
      </c>
      <c r="I42" s="9">
        <v>5700</v>
      </c>
      <c r="J42" s="9">
        <v>5569</v>
      </c>
      <c r="K42" s="9">
        <v>131</v>
      </c>
      <c r="L42" s="45">
        <f t="shared" si="2"/>
        <v>2.2982456140350879E-2</v>
      </c>
      <c r="M42" s="5">
        <f t="shared" si="3"/>
        <v>6.9403973509933777E-3</v>
      </c>
      <c r="N42" s="9"/>
    </row>
    <row r="43" spans="5:14" x14ac:dyDescent="0.3">
      <c r="E43" s="9">
        <v>33089</v>
      </c>
      <c r="F43" s="9" t="s">
        <v>320</v>
      </c>
      <c r="G43" s="9" t="s">
        <v>313</v>
      </c>
      <c r="H43" s="8">
        <v>46275</v>
      </c>
      <c r="I43" s="7">
        <v>12000</v>
      </c>
      <c r="J43" s="7">
        <v>11750</v>
      </c>
      <c r="K43" s="7">
        <v>250</v>
      </c>
      <c r="L43" s="45">
        <f t="shared" si="2"/>
        <v>2.0833333333333332E-2</v>
      </c>
      <c r="M43" s="5">
        <f t="shared" si="3"/>
        <v>1.3245033112582781E-2</v>
      </c>
      <c r="N43" s="9"/>
    </row>
    <row r="44" spans="5:14" x14ac:dyDescent="0.3">
      <c r="E44" s="9">
        <v>33127</v>
      </c>
      <c r="F44" s="9" t="s">
        <v>319</v>
      </c>
      <c r="G44" s="9" t="s">
        <v>14</v>
      </c>
      <c r="H44" s="8">
        <v>46272</v>
      </c>
      <c r="I44" s="9">
        <v>6420</v>
      </c>
      <c r="J44" s="9">
        <v>6287</v>
      </c>
      <c r="K44" s="9">
        <v>133</v>
      </c>
      <c r="L44" s="45">
        <f t="shared" si="2"/>
        <v>2.0716510903426792E-2</v>
      </c>
      <c r="M44" s="5">
        <f t="shared" si="3"/>
        <v>7.0463576158940394E-3</v>
      </c>
      <c r="N44" s="9"/>
    </row>
    <row r="45" spans="5:14" x14ac:dyDescent="0.3">
      <c r="E45" s="9">
        <v>33093</v>
      </c>
      <c r="F45" s="9" t="s">
        <v>314</v>
      </c>
      <c r="G45" s="9" t="s">
        <v>313</v>
      </c>
      <c r="H45" s="8">
        <v>46275</v>
      </c>
      <c r="I45" s="7">
        <v>10000</v>
      </c>
      <c r="J45" s="7">
        <v>9800</v>
      </c>
      <c r="K45" s="7">
        <v>200</v>
      </c>
      <c r="L45" s="45">
        <f t="shared" si="2"/>
        <v>0.02</v>
      </c>
      <c r="M45" s="5">
        <f t="shared" si="3"/>
        <v>1.0596026490066225E-2</v>
      </c>
      <c r="N45" s="9"/>
    </row>
    <row r="46" spans="5:14" x14ac:dyDescent="0.3">
      <c r="E46" s="9">
        <v>33129</v>
      </c>
      <c r="F46" s="9" t="s">
        <v>319</v>
      </c>
      <c r="G46" s="9" t="s">
        <v>14</v>
      </c>
      <c r="H46" s="8">
        <v>46272</v>
      </c>
      <c r="I46" s="7">
        <v>8480</v>
      </c>
      <c r="J46" s="7">
        <v>8323</v>
      </c>
      <c r="K46" s="7">
        <v>157</v>
      </c>
      <c r="L46" s="45">
        <f t="shared" si="2"/>
        <v>1.8514150943396226E-2</v>
      </c>
      <c r="M46" s="5">
        <f t="shared" si="3"/>
        <v>8.3178807947019862E-3</v>
      </c>
      <c r="N46" s="9"/>
    </row>
    <row r="47" spans="5:14" x14ac:dyDescent="0.3">
      <c r="E47" s="9">
        <v>33088</v>
      </c>
      <c r="F47" s="9" t="s">
        <v>318</v>
      </c>
      <c r="G47" s="9" t="s">
        <v>313</v>
      </c>
      <c r="H47" s="8">
        <v>46275</v>
      </c>
      <c r="I47" s="7">
        <v>8000</v>
      </c>
      <c r="J47" s="7">
        <v>7850</v>
      </c>
      <c r="K47" s="7">
        <v>150</v>
      </c>
      <c r="L47" s="45">
        <f t="shared" si="2"/>
        <v>1.8749999999999999E-2</v>
      </c>
      <c r="M47" s="5">
        <f t="shared" si="3"/>
        <v>7.9470198675496689E-3</v>
      </c>
      <c r="N47" s="9"/>
    </row>
    <row r="48" spans="5:14" x14ac:dyDescent="0.3">
      <c r="E48" s="9">
        <v>33132</v>
      </c>
      <c r="F48" s="9" t="s">
        <v>315</v>
      </c>
      <c r="G48" s="9" t="s">
        <v>14</v>
      </c>
      <c r="H48" s="8">
        <v>46273</v>
      </c>
      <c r="I48" s="7">
        <v>9500</v>
      </c>
      <c r="J48" s="7">
        <v>9329</v>
      </c>
      <c r="K48" s="7">
        <v>171</v>
      </c>
      <c r="L48" s="45">
        <f t="shared" si="2"/>
        <v>1.7999999999999999E-2</v>
      </c>
      <c r="M48" s="5">
        <f t="shared" si="3"/>
        <v>9.0596026490066227E-3</v>
      </c>
      <c r="N48" s="9"/>
    </row>
    <row r="49" spans="5:14" x14ac:dyDescent="0.3">
      <c r="E49" s="9">
        <v>33085</v>
      </c>
      <c r="F49" s="9" t="s">
        <v>317</v>
      </c>
      <c r="G49" s="9" t="s">
        <v>313</v>
      </c>
      <c r="H49" s="8">
        <v>46274</v>
      </c>
      <c r="I49" s="7">
        <v>16000</v>
      </c>
      <c r="J49" s="7">
        <v>15750</v>
      </c>
      <c r="K49" s="7">
        <v>250</v>
      </c>
      <c r="L49" s="45">
        <f t="shared" si="2"/>
        <v>1.5625E-2</v>
      </c>
      <c r="M49" s="5">
        <f t="shared" si="3"/>
        <v>1.3245033112582781E-2</v>
      </c>
      <c r="N49" s="9"/>
    </row>
    <row r="50" spans="5:14" x14ac:dyDescent="0.3">
      <c r="E50" s="9">
        <v>33086</v>
      </c>
      <c r="F50" s="9" t="s">
        <v>316</v>
      </c>
      <c r="G50" s="9" t="s">
        <v>313</v>
      </c>
      <c r="H50" s="8">
        <v>46275</v>
      </c>
      <c r="I50" s="7">
        <v>16000</v>
      </c>
      <c r="J50" s="7">
        <v>15750</v>
      </c>
      <c r="K50" s="7">
        <v>250</v>
      </c>
      <c r="L50" s="45">
        <f t="shared" si="2"/>
        <v>1.5625E-2</v>
      </c>
      <c r="M50" s="5">
        <f t="shared" si="3"/>
        <v>1.3245033112582781E-2</v>
      </c>
      <c r="N50" s="9"/>
    </row>
    <row r="51" spans="5:14" x14ac:dyDescent="0.3">
      <c r="E51" s="9">
        <v>33133</v>
      </c>
      <c r="F51" s="9" t="s">
        <v>315</v>
      </c>
      <c r="G51" s="9" t="s">
        <v>14</v>
      </c>
      <c r="H51" s="8">
        <v>46273</v>
      </c>
      <c r="I51" s="9">
        <v>9500</v>
      </c>
      <c r="J51" s="9">
        <v>9361</v>
      </c>
      <c r="K51" s="9">
        <v>139</v>
      </c>
      <c r="L51" s="45">
        <f t="shared" si="2"/>
        <v>1.4631578947368421E-2</v>
      </c>
      <c r="M51" s="5">
        <f t="shared" si="3"/>
        <v>7.3642384105960263E-3</v>
      </c>
      <c r="N51" s="9"/>
    </row>
    <row r="52" spans="5:14" x14ac:dyDescent="0.3">
      <c r="E52" s="9">
        <v>33134</v>
      </c>
      <c r="F52" s="9" t="s">
        <v>315</v>
      </c>
      <c r="G52" s="9" t="s">
        <v>14</v>
      </c>
      <c r="H52" s="8">
        <v>46274</v>
      </c>
      <c r="I52" s="9">
        <v>5700</v>
      </c>
      <c r="J52" s="9">
        <v>5618</v>
      </c>
      <c r="K52" s="9">
        <v>82</v>
      </c>
      <c r="L52" s="45">
        <f t="shared" si="2"/>
        <v>1.4385964912280702E-2</v>
      </c>
      <c r="M52" s="5">
        <f t="shared" si="3"/>
        <v>4.3443708609271527E-3</v>
      </c>
      <c r="N52" s="9"/>
    </row>
    <row r="53" spans="5:14" x14ac:dyDescent="0.3">
      <c r="E53" s="9">
        <v>33092</v>
      </c>
      <c r="F53" s="9" t="s">
        <v>314</v>
      </c>
      <c r="G53" s="9" t="s">
        <v>313</v>
      </c>
      <c r="H53" s="8">
        <v>46275</v>
      </c>
      <c r="I53" s="9">
        <v>12000</v>
      </c>
      <c r="J53" s="9">
        <v>11850</v>
      </c>
      <c r="K53" s="9">
        <v>150</v>
      </c>
      <c r="L53" s="45">
        <f t="shared" si="2"/>
        <v>1.2500000000000001E-2</v>
      </c>
      <c r="M53" s="5">
        <f t="shared" si="3"/>
        <v>7.9470198675496689E-3</v>
      </c>
      <c r="N53" s="9"/>
    </row>
    <row r="54" spans="5:14" x14ac:dyDescent="0.3">
      <c r="E54" s="9">
        <v>33136</v>
      </c>
      <c r="F54" s="9" t="s">
        <v>312</v>
      </c>
      <c r="G54" s="9" t="s">
        <v>14</v>
      </c>
      <c r="H54" s="8">
        <v>46275</v>
      </c>
      <c r="I54" s="9">
        <v>9500</v>
      </c>
      <c r="J54" s="9">
        <v>9376</v>
      </c>
      <c r="K54" s="9">
        <v>124</v>
      </c>
      <c r="L54" s="45">
        <f t="shared" si="2"/>
        <v>1.3052631578947368E-2</v>
      </c>
      <c r="M54" s="5">
        <f t="shared" si="3"/>
        <v>6.5695364238410594E-3</v>
      </c>
      <c r="N54" s="9"/>
    </row>
    <row r="55" spans="5:14" x14ac:dyDescent="0.3">
      <c r="E55" s="9">
        <v>33148</v>
      </c>
      <c r="F55" s="9" t="s">
        <v>311</v>
      </c>
      <c r="G55" s="9" t="s">
        <v>12</v>
      </c>
      <c r="H55" s="8">
        <v>46274</v>
      </c>
      <c r="I55" s="9">
        <v>7200</v>
      </c>
      <c r="J55" s="9">
        <v>7110</v>
      </c>
      <c r="K55" s="9">
        <v>90</v>
      </c>
      <c r="L55" s="45">
        <f t="shared" si="2"/>
        <v>1.2500000000000001E-2</v>
      </c>
      <c r="M55" s="5">
        <f t="shared" si="3"/>
        <v>4.7682119205298013E-3</v>
      </c>
      <c r="N55" s="9"/>
    </row>
    <row r="56" spans="5:14" x14ac:dyDescent="0.3">
      <c r="E56" s="9">
        <v>33156</v>
      </c>
      <c r="F56" s="9" t="s">
        <v>310</v>
      </c>
      <c r="G56" s="9" t="s">
        <v>222</v>
      </c>
      <c r="H56" s="8">
        <v>46274</v>
      </c>
      <c r="I56" s="9">
        <v>3800</v>
      </c>
      <c r="J56" s="9">
        <v>3749</v>
      </c>
      <c r="K56" s="9">
        <v>51</v>
      </c>
      <c r="L56" s="45">
        <f t="shared" si="2"/>
        <v>1.3421052631578948E-2</v>
      </c>
      <c r="M56" s="5">
        <f t="shared" si="3"/>
        <v>2.7019867549668876E-3</v>
      </c>
      <c r="N56" s="9"/>
    </row>
    <row r="57" spans="5:14" x14ac:dyDescent="0.3">
      <c r="E57" s="9">
        <v>33166</v>
      </c>
      <c r="F57" s="9" t="s">
        <v>309</v>
      </c>
      <c r="G57" s="9" t="s">
        <v>308</v>
      </c>
      <c r="H57" s="8">
        <v>46275</v>
      </c>
      <c r="I57" s="9">
        <v>7600</v>
      </c>
      <c r="J57" s="9">
        <v>7534</v>
      </c>
      <c r="K57" s="9">
        <v>66</v>
      </c>
      <c r="L57" s="45">
        <f t="shared" si="2"/>
        <v>8.6842105263157891E-3</v>
      </c>
      <c r="M57" s="5">
        <f t="shared" si="3"/>
        <v>3.4966887417218545E-3</v>
      </c>
      <c r="N57" s="9"/>
    </row>
    <row r="58" spans="5:14" x14ac:dyDescent="0.3">
      <c r="E58" s="9">
        <v>33205</v>
      </c>
      <c r="F58" s="9" t="s">
        <v>307</v>
      </c>
      <c r="G58" s="9" t="s">
        <v>12</v>
      </c>
      <c r="H58" s="8">
        <v>46275</v>
      </c>
      <c r="I58" s="9">
        <v>1500</v>
      </c>
      <c r="J58" s="9">
        <v>1488</v>
      </c>
      <c r="K58" s="9">
        <v>12</v>
      </c>
      <c r="L58" s="45">
        <f t="shared" si="2"/>
        <v>8.0000000000000002E-3</v>
      </c>
      <c r="M58" s="5">
        <f t="shared" si="3"/>
        <v>6.3576158940397353E-4</v>
      </c>
      <c r="N58" s="9"/>
    </row>
    <row r="59" spans="5:14" x14ac:dyDescent="0.3">
      <c r="E59" s="9">
        <v>33189</v>
      </c>
      <c r="F59" s="9" t="s">
        <v>220</v>
      </c>
      <c r="G59" s="9" t="s">
        <v>219</v>
      </c>
      <c r="H59" s="8">
        <v>46276</v>
      </c>
      <c r="I59" s="9">
        <v>4200</v>
      </c>
      <c r="J59" s="9">
        <v>4188</v>
      </c>
      <c r="K59" s="9">
        <v>12</v>
      </c>
      <c r="L59" s="45">
        <f t="shared" si="2"/>
        <v>2.8571428571428571E-3</v>
      </c>
      <c r="M59" s="5">
        <f t="shared" si="3"/>
        <v>6.3576158940397353E-4</v>
      </c>
      <c r="N59" s="9"/>
    </row>
    <row r="60" spans="5:14" x14ac:dyDescent="0.3">
      <c r="E60" s="9">
        <v>33142</v>
      </c>
      <c r="F60" s="9" t="s">
        <v>306</v>
      </c>
      <c r="G60" s="9" t="s">
        <v>12</v>
      </c>
      <c r="H60" s="8">
        <v>46273</v>
      </c>
      <c r="I60" s="9">
        <v>5000</v>
      </c>
      <c r="J60" s="9">
        <v>5229</v>
      </c>
      <c r="K60" s="9">
        <v>0</v>
      </c>
      <c r="L60" s="45">
        <f t="shared" si="2"/>
        <v>0</v>
      </c>
      <c r="M60" s="5">
        <f t="shared" si="3"/>
        <v>0</v>
      </c>
      <c r="N60" s="9"/>
    </row>
    <row r="61" spans="5:14" x14ac:dyDescent="0.3">
      <c r="E61" s="9">
        <v>33143</v>
      </c>
      <c r="F61" s="9" t="s">
        <v>300</v>
      </c>
      <c r="G61" s="9" t="s">
        <v>12</v>
      </c>
      <c r="H61" s="8">
        <v>46273</v>
      </c>
      <c r="I61" s="9">
        <v>3000</v>
      </c>
      <c r="J61" s="9">
        <v>3030</v>
      </c>
      <c r="K61" s="9">
        <v>0</v>
      </c>
      <c r="L61" s="45">
        <f t="shared" si="2"/>
        <v>0</v>
      </c>
      <c r="M61" s="5">
        <f t="shared" si="3"/>
        <v>0</v>
      </c>
      <c r="N61" s="9"/>
    </row>
    <row r="62" spans="5:14" x14ac:dyDescent="0.3">
      <c r="E62" s="9">
        <v>33144</v>
      </c>
      <c r="F62" s="9" t="s">
        <v>297</v>
      </c>
      <c r="G62" s="9" t="s">
        <v>12</v>
      </c>
      <c r="H62" s="8">
        <v>46273</v>
      </c>
      <c r="I62" s="9">
        <v>5600</v>
      </c>
      <c r="J62" s="9">
        <v>5740</v>
      </c>
      <c r="K62" s="9">
        <v>0</v>
      </c>
      <c r="L62" s="45">
        <f t="shared" si="2"/>
        <v>0</v>
      </c>
      <c r="M62" s="5">
        <f t="shared" si="3"/>
        <v>0</v>
      </c>
      <c r="N62" s="9"/>
    </row>
    <row r="63" spans="5:14" x14ac:dyDescent="0.3">
      <c r="E63" s="9">
        <v>33146</v>
      </c>
      <c r="F63" s="9" t="s">
        <v>305</v>
      </c>
      <c r="G63" s="9" t="s">
        <v>12</v>
      </c>
      <c r="H63" s="8">
        <v>46273</v>
      </c>
      <c r="I63" s="9">
        <v>4500</v>
      </c>
      <c r="J63" s="9">
        <v>4525</v>
      </c>
      <c r="K63" s="9">
        <v>0</v>
      </c>
      <c r="L63" s="45">
        <f t="shared" si="2"/>
        <v>0</v>
      </c>
      <c r="M63" s="5">
        <f t="shared" si="3"/>
        <v>0</v>
      </c>
      <c r="N63" s="9"/>
    </row>
    <row r="64" spans="5:14" x14ac:dyDescent="0.3">
      <c r="E64" s="9">
        <v>33150</v>
      </c>
      <c r="F64" s="9" t="s">
        <v>304</v>
      </c>
      <c r="G64" s="9" t="s">
        <v>24</v>
      </c>
      <c r="H64" s="8">
        <v>46272</v>
      </c>
      <c r="I64" s="9">
        <v>12000</v>
      </c>
      <c r="J64" s="9">
        <v>12035</v>
      </c>
      <c r="K64" s="9">
        <v>0</v>
      </c>
      <c r="L64" s="45">
        <f t="shared" si="2"/>
        <v>0</v>
      </c>
      <c r="M64" s="5">
        <f t="shared" si="3"/>
        <v>0</v>
      </c>
      <c r="N64" s="9"/>
    </row>
    <row r="65" spans="5:14" x14ac:dyDescent="0.3">
      <c r="E65" s="9">
        <v>33151</v>
      </c>
      <c r="F65" s="9" t="s">
        <v>303</v>
      </c>
      <c r="G65" s="9" t="s">
        <v>12</v>
      </c>
      <c r="H65" s="8">
        <v>46274</v>
      </c>
      <c r="I65" s="9">
        <v>5600</v>
      </c>
      <c r="J65" s="9">
        <v>5740</v>
      </c>
      <c r="K65" s="9">
        <v>0</v>
      </c>
      <c r="L65" s="45">
        <f t="shared" si="2"/>
        <v>0</v>
      </c>
      <c r="M65" s="5">
        <f t="shared" si="3"/>
        <v>0</v>
      </c>
      <c r="N65" s="9"/>
    </row>
    <row r="66" spans="5:14" x14ac:dyDescent="0.3">
      <c r="E66" s="9">
        <v>33152</v>
      </c>
      <c r="F66" s="9" t="s">
        <v>302</v>
      </c>
      <c r="G66" s="9" t="s">
        <v>231</v>
      </c>
      <c r="H66" s="8">
        <v>46274</v>
      </c>
      <c r="I66" s="9">
        <v>10000</v>
      </c>
      <c r="J66" s="9">
        <v>10075</v>
      </c>
      <c r="K66" s="9">
        <v>0</v>
      </c>
      <c r="L66" s="45">
        <f t="shared" ref="L66:L74" si="4">K66/I66</f>
        <v>0</v>
      </c>
      <c r="M66" s="5">
        <f t="shared" ref="M66:M74" si="5">K66/$B$8</f>
        <v>0</v>
      </c>
      <c r="N66" s="9"/>
    </row>
    <row r="67" spans="5:14" x14ac:dyDescent="0.3">
      <c r="E67" s="9">
        <v>33153</v>
      </c>
      <c r="F67" s="9" t="s">
        <v>301</v>
      </c>
      <c r="G67" s="9" t="s">
        <v>266</v>
      </c>
      <c r="H67" s="8">
        <v>46273</v>
      </c>
      <c r="I67" s="9">
        <v>2000</v>
      </c>
      <c r="J67" s="9">
        <v>2066</v>
      </c>
      <c r="K67" s="9">
        <v>0</v>
      </c>
      <c r="L67" s="45">
        <f t="shared" si="4"/>
        <v>0</v>
      </c>
      <c r="M67" s="5">
        <f t="shared" si="5"/>
        <v>0</v>
      </c>
      <c r="N67" s="9"/>
    </row>
    <row r="68" spans="5:14" x14ac:dyDescent="0.3">
      <c r="E68" s="9">
        <v>33162</v>
      </c>
      <c r="F68" s="9" t="s">
        <v>300</v>
      </c>
      <c r="G68" s="9" t="s">
        <v>12</v>
      </c>
      <c r="H68" s="8">
        <v>46273</v>
      </c>
      <c r="I68" s="9">
        <v>3000</v>
      </c>
      <c r="J68" s="9">
        <v>3000</v>
      </c>
      <c r="K68" s="9">
        <v>0</v>
      </c>
      <c r="L68" s="45">
        <f t="shared" si="4"/>
        <v>0</v>
      </c>
      <c r="M68" s="5">
        <f t="shared" si="5"/>
        <v>0</v>
      </c>
      <c r="N68" s="9"/>
    </row>
    <row r="69" spans="5:14" x14ac:dyDescent="0.3">
      <c r="E69" s="9">
        <v>33172</v>
      </c>
      <c r="F69" s="9" t="s">
        <v>299</v>
      </c>
      <c r="G69" s="9" t="s">
        <v>79</v>
      </c>
      <c r="H69" s="8">
        <v>46276</v>
      </c>
      <c r="I69" s="9">
        <v>16200</v>
      </c>
      <c r="J69" s="9">
        <v>16200</v>
      </c>
      <c r="K69" s="9">
        <v>0</v>
      </c>
      <c r="L69" s="45">
        <f t="shared" si="4"/>
        <v>0</v>
      </c>
      <c r="M69" s="5">
        <f t="shared" si="5"/>
        <v>0</v>
      </c>
      <c r="N69" s="9"/>
    </row>
    <row r="70" spans="5:14" x14ac:dyDescent="0.3">
      <c r="E70" s="9">
        <v>33173</v>
      </c>
      <c r="F70" s="9" t="s">
        <v>298</v>
      </c>
      <c r="G70" s="9" t="s">
        <v>176</v>
      </c>
      <c r="H70" s="8">
        <v>46272</v>
      </c>
      <c r="I70" s="9">
        <v>6250</v>
      </c>
      <c r="J70" s="9">
        <v>6250</v>
      </c>
      <c r="K70" s="9">
        <v>0</v>
      </c>
      <c r="L70" s="45">
        <f t="shared" si="4"/>
        <v>0</v>
      </c>
      <c r="M70" s="5">
        <f t="shared" si="5"/>
        <v>0</v>
      </c>
      <c r="N70" s="9"/>
    </row>
    <row r="71" spans="5:14" x14ac:dyDescent="0.3">
      <c r="E71" s="9">
        <v>33200</v>
      </c>
      <c r="F71" s="9" t="s">
        <v>297</v>
      </c>
      <c r="G71" s="9" t="s">
        <v>12</v>
      </c>
      <c r="H71" s="8">
        <v>46275</v>
      </c>
      <c r="I71" s="9">
        <v>7000</v>
      </c>
      <c r="J71" s="9">
        <v>7380</v>
      </c>
      <c r="K71" s="9">
        <v>0</v>
      </c>
      <c r="L71" s="45">
        <f t="shared" si="4"/>
        <v>0</v>
      </c>
      <c r="M71" s="5">
        <f t="shared" si="5"/>
        <v>0</v>
      </c>
      <c r="N71" s="9"/>
    </row>
    <row r="72" spans="5:14" x14ac:dyDescent="0.3">
      <c r="E72" s="9">
        <v>33201</v>
      </c>
      <c r="F72" s="9" t="s">
        <v>296</v>
      </c>
      <c r="G72" s="9" t="s">
        <v>12</v>
      </c>
      <c r="H72" s="8">
        <v>46276</v>
      </c>
      <c r="I72" s="9">
        <v>5600</v>
      </c>
      <c r="J72" s="9">
        <v>5736</v>
      </c>
      <c r="K72" s="9">
        <v>0</v>
      </c>
      <c r="L72" s="45">
        <f t="shared" si="4"/>
        <v>0</v>
      </c>
      <c r="M72" s="5">
        <f t="shared" si="5"/>
        <v>0</v>
      </c>
      <c r="N72" s="9"/>
    </row>
    <row r="73" spans="5:14" x14ac:dyDescent="0.3">
      <c r="E73" s="9">
        <v>33202</v>
      </c>
      <c r="F73" s="9" t="s">
        <v>295</v>
      </c>
      <c r="G73" s="9" t="s">
        <v>12</v>
      </c>
      <c r="H73" s="8">
        <v>46276</v>
      </c>
      <c r="I73" s="9">
        <v>5600</v>
      </c>
      <c r="J73" s="9">
        <v>5661</v>
      </c>
      <c r="K73" s="9">
        <v>0</v>
      </c>
      <c r="L73" s="45">
        <f t="shared" si="4"/>
        <v>0</v>
      </c>
      <c r="M73" s="5">
        <f t="shared" si="5"/>
        <v>0</v>
      </c>
      <c r="N73" s="9"/>
    </row>
    <row r="74" spans="5:14" x14ac:dyDescent="0.3">
      <c r="E74" s="9">
        <v>33203</v>
      </c>
      <c r="F74" s="9" t="s">
        <v>294</v>
      </c>
      <c r="G74" s="9" t="s">
        <v>12</v>
      </c>
      <c r="H74" s="8">
        <v>46275</v>
      </c>
      <c r="I74" s="9">
        <v>5600</v>
      </c>
      <c r="J74" s="9">
        <v>5740</v>
      </c>
      <c r="K74" s="9">
        <v>0</v>
      </c>
      <c r="L74" s="45">
        <f t="shared" si="4"/>
        <v>0</v>
      </c>
      <c r="M74" s="5">
        <f t="shared" si="5"/>
        <v>0</v>
      </c>
      <c r="N74" s="9"/>
    </row>
  </sheetData>
  <autoFilter ref="E1:N1" xr:uid="{ED0A2852-B90F-4E5C-9DCF-FC384D5546E0}">
    <sortState xmlns:xlrd2="http://schemas.microsoft.com/office/spreadsheetml/2017/richdata2" ref="E2:N74">
      <sortCondition descending="1" ref="L1"/>
    </sortState>
  </autoFilter>
  <mergeCells count="1">
    <mergeCell ref="A1:B1"/>
  </mergeCells>
  <conditionalFormatting sqref="D2:D6">
    <cfRule type="duplicateValues" dxfId="12" priority="3"/>
  </conditionalFormatting>
  <conditionalFormatting sqref="D7">
    <cfRule type="duplicateValues" dxfId="11" priority="2"/>
  </conditionalFormatting>
  <conditionalFormatting sqref="D8">
    <cfRule type="duplicateValues" dxfId="10" priority="1"/>
  </conditionalFormatting>
  <conditionalFormatting sqref="E2:E41">
    <cfRule type="duplicateValues" dxfId="9" priority="4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4676-B157-4E9E-8AD2-45CCAB2809AA}">
  <sheetPr>
    <tabColor rgb="FFFF0000"/>
    <pageSetUpPr fitToPage="1"/>
  </sheetPr>
  <dimension ref="A1:N61"/>
  <sheetViews>
    <sheetView topLeftCell="F1" zoomScaleNormal="100" workbookViewId="0">
      <selection activeCell="F30" sqref="F30"/>
    </sheetView>
  </sheetViews>
  <sheetFormatPr baseColWidth="10" defaultRowHeight="14.4" x14ac:dyDescent="0.3"/>
  <cols>
    <col min="1" max="1" width="23.21875" bestFit="1" customWidth="1"/>
    <col min="2" max="2" width="10.44140625" customWidth="1"/>
    <col min="3" max="3" width="12.77734375" customWidth="1"/>
    <col min="4" max="4" width="10" bestFit="1" customWidth="1"/>
    <col min="5" max="5" width="6" bestFit="1" customWidth="1"/>
    <col min="6" max="6" width="78.33203125" bestFit="1" customWidth="1"/>
    <col min="7" max="7" width="29.33203125" bestFit="1" customWidth="1"/>
    <col min="8" max="8" width="19.33203125" bestFit="1" customWidth="1"/>
    <col min="9" max="9" width="21.33203125" bestFit="1" customWidth="1"/>
    <col min="10" max="10" width="23.5546875" bestFit="1" customWidth="1"/>
    <col min="11" max="11" width="13.44140625" bestFit="1" customWidth="1"/>
    <col min="12" max="12" width="11.6640625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E1" s="23" t="s">
        <v>118</v>
      </c>
      <c r="F1" s="42" t="s">
        <v>117</v>
      </c>
      <c r="G1" s="23" t="s">
        <v>116</v>
      </c>
      <c r="H1" s="47" t="s">
        <v>115</v>
      </c>
      <c r="I1" s="23" t="s">
        <v>114</v>
      </c>
      <c r="J1" s="23" t="s">
        <v>113</v>
      </c>
      <c r="K1" s="23" t="s">
        <v>112</v>
      </c>
      <c r="L1" s="46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46277</v>
      </c>
      <c r="E2" s="9">
        <v>32777</v>
      </c>
      <c r="F2" s="32" t="s">
        <v>371</v>
      </c>
      <c r="G2" s="9" t="s">
        <v>12</v>
      </c>
      <c r="H2" s="8">
        <v>46282</v>
      </c>
      <c r="I2" s="7">
        <v>16000</v>
      </c>
      <c r="J2" s="7">
        <v>14425</v>
      </c>
      <c r="K2" s="7">
        <v>1575</v>
      </c>
      <c r="L2" s="45">
        <v>9.8000000000000004E-2</v>
      </c>
      <c r="M2" s="5">
        <f t="shared" ref="M2:M33" si="0">K2/$B$8</f>
        <v>7.5304805163758065E-2</v>
      </c>
      <c r="N2" s="9"/>
    </row>
    <row r="3" spans="1:14" x14ac:dyDescent="0.3">
      <c r="A3" s="15" t="s">
        <v>107</v>
      </c>
      <c r="B3" s="8">
        <v>46282</v>
      </c>
      <c r="E3" s="9">
        <v>33102</v>
      </c>
      <c r="F3" s="32" t="s">
        <v>370</v>
      </c>
      <c r="G3" s="9" t="s">
        <v>288</v>
      </c>
      <c r="H3" s="8">
        <v>46279</v>
      </c>
      <c r="I3" s="7">
        <v>6800</v>
      </c>
      <c r="J3" s="7">
        <v>5225</v>
      </c>
      <c r="K3" s="7">
        <v>1575</v>
      </c>
      <c r="L3" s="45">
        <v>0.23200000000000001</v>
      </c>
      <c r="M3" s="5">
        <f t="shared" si="0"/>
        <v>7.5304805163758065E-2</v>
      </c>
      <c r="N3" s="9"/>
    </row>
    <row r="4" spans="1:14" x14ac:dyDescent="0.3">
      <c r="E4" s="9">
        <v>32990</v>
      </c>
      <c r="F4" s="32" t="s">
        <v>369</v>
      </c>
      <c r="G4" s="9" t="s">
        <v>338</v>
      </c>
      <c r="H4" s="8">
        <v>46279</v>
      </c>
      <c r="I4" s="7">
        <v>4200</v>
      </c>
      <c r="J4" s="7">
        <v>2835</v>
      </c>
      <c r="K4" s="7">
        <v>1365</v>
      </c>
      <c r="L4" s="45">
        <v>0.32500000000000001</v>
      </c>
      <c r="M4" s="5">
        <f t="shared" si="0"/>
        <v>6.5264164475256986E-2</v>
      </c>
      <c r="N4" s="9"/>
    </row>
    <row r="5" spans="1:14" x14ac:dyDescent="0.3">
      <c r="A5" s="15" t="s">
        <v>105</v>
      </c>
      <c r="B5" s="9">
        <f>SUBTOTAL(3,E2:E1048576)</f>
        <v>60</v>
      </c>
      <c r="E5" s="9">
        <v>33020</v>
      </c>
      <c r="F5" s="32" t="s">
        <v>360</v>
      </c>
      <c r="G5" s="9" t="s">
        <v>79</v>
      </c>
      <c r="H5" s="8">
        <v>46282</v>
      </c>
      <c r="I5" s="7">
        <v>8750</v>
      </c>
      <c r="J5" s="7">
        <v>7445</v>
      </c>
      <c r="K5" s="7">
        <v>1305</v>
      </c>
      <c r="L5" s="45">
        <v>0.14899999999999999</v>
      </c>
      <c r="M5" s="5">
        <f t="shared" si="0"/>
        <v>6.2395409992828117E-2</v>
      </c>
      <c r="N5" s="9"/>
    </row>
    <row r="6" spans="1:14" x14ac:dyDescent="0.3">
      <c r="A6" s="15" t="s">
        <v>103</v>
      </c>
      <c r="B6" s="20">
        <f>SUBTOTAL(9,I:I)</f>
        <v>399140</v>
      </c>
      <c r="E6" s="9">
        <v>32966</v>
      </c>
      <c r="F6" s="32" t="s">
        <v>250</v>
      </c>
      <c r="G6" s="9" t="s">
        <v>176</v>
      </c>
      <c r="H6" s="8">
        <v>46282</v>
      </c>
      <c r="I6" s="7">
        <v>16000</v>
      </c>
      <c r="J6" s="7">
        <v>14790</v>
      </c>
      <c r="K6" s="7">
        <v>1210</v>
      </c>
      <c r="L6" s="45">
        <v>7.5999999999999998E-2</v>
      </c>
      <c r="M6" s="5">
        <f t="shared" si="0"/>
        <v>5.7853215395649055E-2</v>
      </c>
      <c r="N6" s="9"/>
    </row>
    <row r="7" spans="1:14" x14ac:dyDescent="0.3">
      <c r="A7" s="15" t="s">
        <v>101</v>
      </c>
      <c r="B7" s="20">
        <f>SUBTOTAL(9,J:J)</f>
        <v>378970</v>
      </c>
      <c r="E7" s="9">
        <v>33062</v>
      </c>
      <c r="F7" s="32" t="s">
        <v>368</v>
      </c>
      <c r="G7" s="9" t="s">
        <v>338</v>
      </c>
      <c r="H7" s="8">
        <v>46280</v>
      </c>
      <c r="I7" s="7">
        <v>3800</v>
      </c>
      <c r="J7" s="7">
        <v>2590</v>
      </c>
      <c r="K7" s="7">
        <v>1210</v>
      </c>
      <c r="L7" s="45">
        <v>0.318</v>
      </c>
      <c r="M7" s="5">
        <f t="shared" si="0"/>
        <v>5.7853215395649055E-2</v>
      </c>
      <c r="N7" s="9"/>
    </row>
    <row r="8" spans="1:14" x14ac:dyDescent="0.3">
      <c r="A8" s="15" t="s">
        <v>99</v>
      </c>
      <c r="B8" s="20">
        <f>SUBTOTAL(9,K:K)</f>
        <v>20915</v>
      </c>
      <c r="E8" s="9">
        <v>32991</v>
      </c>
      <c r="F8" s="32" t="s">
        <v>367</v>
      </c>
      <c r="G8" s="9" t="s">
        <v>338</v>
      </c>
      <c r="H8" s="8">
        <v>46280</v>
      </c>
      <c r="I8" s="7">
        <v>6360</v>
      </c>
      <c r="J8" s="7">
        <v>5352</v>
      </c>
      <c r="K8" s="7">
        <v>1008</v>
      </c>
      <c r="L8" s="45">
        <v>0.158</v>
      </c>
      <c r="M8" s="5">
        <f t="shared" si="0"/>
        <v>4.8195075304805164E-2</v>
      </c>
      <c r="N8" s="9"/>
    </row>
    <row r="9" spans="1:14" x14ac:dyDescent="0.3">
      <c r="A9" s="15" t="s">
        <v>98</v>
      </c>
      <c r="B9" s="18">
        <f>B8/B6</f>
        <v>5.2400160344741195E-2</v>
      </c>
      <c r="D9" s="17"/>
      <c r="E9" s="9">
        <v>33193</v>
      </c>
      <c r="F9" s="32" t="s">
        <v>267</v>
      </c>
      <c r="G9" s="9" t="s">
        <v>2</v>
      </c>
      <c r="H9" s="8">
        <v>46280</v>
      </c>
      <c r="I9" s="7">
        <v>8000</v>
      </c>
      <c r="J9" s="7">
        <v>7040</v>
      </c>
      <c r="K9" s="7">
        <v>960</v>
      </c>
      <c r="L9" s="45">
        <v>0.12</v>
      </c>
      <c r="M9" s="5">
        <f t="shared" si="0"/>
        <v>4.5900071718862061E-2</v>
      </c>
      <c r="N9" s="9"/>
    </row>
    <row r="10" spans="1:14" x14ac:dyDescent="0.3">
      <c r="A10" s="15" t="s">
        <v>96</v>
      </c>
      <c r="B10" s="9">
        <f>COUNTIF(L:L,"&gt;=5%")</f>
        <v>17</v>
      </c>
      <c r="D10" s="39"/>
      <c r="E10" s="9">
        <v>33180</v>
      </c>
      <c r="F10" s="32" t="s">
        <v>359</v>
      </c>
      <c r="G10" s="9" t="s">
        <v>12</v>
      </c>
      <c r="H10" s="8">
        <v>46279</v>
      </c>
      <c r="I10" s="7">
        <v>8400</v>
      </c>
      <c r="J10" s="7">
        <v>7490</v>
      </c>
      <c r="K10" s="7">
        <v>910</v>
      </c>
      <c r="L10" s="45">
        <v>0.108</v>
      </c>
      <c r="M10" s="5">
        <f t="shared" si="0"/>
        <v>4.3509442983504662E-2</v>
      </c>
      <c r="N10" s="9"/>
    </row>
    <row r="11" spans="1:14" x14ac:dyDescent="0.3">
      <c r="A11" s="15" t="s">
        <v>95</v>
      </c>
      <c r="B11" s="48">
        <f>B10/B5</f>
        <v>0.28333333333333333</v>
      </c>
      <c r="E11" s="9">
        <v>33022</v>
      </c>
      <c r="F11" s="32" t="s">
        <v>360</v>
      </c>
      <c r="G11" s="9" t="s">
        <v>79</v>
      </c>
      <c r="H11" s="8">
        <v>46282</v>
      </c>
      <c r="I11" s="7">
        <v>8750</v>
      </c>
      <c r="J11" s="7">
        <v>7867</v>
      </c>
      <c r="K11" s="7">
        <v>883</v>
      </c>
      <c r="L11" s="45">
        <v>0.10100000000000001</v>
      </c>
      <c r="M11" s="5">
        <f t="shared" si="0"/>
        <v>4.2218503466411664E-2</v>
      </c>
      <c r="N11" s="9"/>
    </row>
    <row r="12" spans="1:14" x14ac:dyDescent="0.3">
      <c r="E12" s="9">
        <v>33063</v>
      </c>
      <c r="F12" s="32" t="s">
        <v>366</v>
      </c>
      <c r="G12" s="9" t="s">
        <v>338</v>
      </c>
      <c r="H12" s="8">
        <v>46280</v>
      </c>
      <c r="I12" s="7">
        <v>4000</v>
      </c>
      <c r="J12" s="7">
        <v>3180</v>
      </c>
      <c r="K12" s="7">
        <v>820</v>
      </c>
      <c r="L12" s="45">
        <v>0.20499999999999999</v>
      </c>
      <c r="M12" s="5">
        <f t="shared" si="0"/>
        <v>3.9206311259861341E-2</v>
      </c>
      <c r="N12" s="9"/>
    </row>
    <row r="13" spans="1:14" x14ac:dyDescent="0.3">
      <c r="E13" s="9">
        <v>33240</v>
      </c>
      <c r="F13" s="32" t="s">
        <v>333</v>
      </c>
      <c r="G13" s="9" t="s">
        <v>30</v>
      </c>
      <c r="H13" s="8">
        <v>46281</v>
      </c>
      <c r="I13" s="7">
        <v>7200</v>
      </c>
      <c r="J13" s="7">
        <v>6390</v>
      </c>
      <c r="K13" s="7">
        <v>810</v>
      </c>
      <c r="L13" s="45">
        <v>0.113</v>
      </c>
      <c r="M13" s="5">
        <f t="shared" si="0"/>
        <v>3.8728185512789864E-2</v>
      </c>
      <c r="N13" s="9"/>
    </row>
    <row r="14" spans="1:14" x14ac:dyDescent="0.3">
      <c r="A14" s="26" t="s">
        <v>178</v>
      </c>
      <c r="B14" s="27">
        <f>B8-'[1]14-09'!B8</f>
        <v>2040</v>
      </c>
      <c r="E14" s="9">
        <v>33241</v>
      </c>
      <c r="F14" s="32" t="s">
        <v>336</v>
      </c>
      <c r="G14" s="9" t="s">
        <v>30</v>
      </c>
      <c r="H14" s="8">
        <v>46281</v>
      </c>
      <c r="I14" s="7">
        <v>10800</v>
      </c>
      <c r="J14" s="7">
        <v>10019</v>
      </c>
      <c r="K14" s="7">
        <v>781</v>
      </c>
      <c r="L14" s="45">
        <v>7.1999999999999995E-2</v>
      </c>
      <c r="M14" s="5">
        <f t="shared" si="0"/>
        <v>3.7341620846282571E-2</v>
      </c>
      <c r="N14" s="9"/>
    </row>
    <row r="15" spans="1:14" x14ac:dyDescent="0.3">
      <c r="A15" s="26" t="s">
        <v>178</v>
      </c>
      <c r="B15" s="25">
        <f>B9-'[1]14-09'!B9</f>
        <v>1.5558671460623535E-2</v>
      </c>
      <c r="E15" s="9">
        <v>33215</v>
      </c>
      <c r="F15" s="32" t="s">
        <v>364</v>
      </c>
      <c r="G15" s="9" t="s">
        <v>12</v>
      </c>
      <c r="H15" s="8">
        <v>46282</v>
      </c>
      <c r="I15" s="7">
        <v>10500</v>
      </c>
      <c r="J15" s="7">
        <v>9801</v>
      </c>
      <c r="K15" s="7">
        <v>699</v>
      </c>
      <c r="L15" s="45">
        <v>6.7000000000000004E-2</v>
      </c>
      <c r="M15" s="5">
        <f t="shared" si="0"/>
        <v>3.3420989720296439E-2</v>
      </c>
      <c r="N15" s="9"/>
    </row>
    <row r="16" spans="1:14" x14ac:dyDescent="0.3">
      <c r="E16" s="9">
        <v>33245</v>
      </c>
      <c r="F16" s="32" t="s">
        <v>365</v>
      </c>
      <c r="G16" s="9" t="s">
        <v>30</v>
      </c>
      <c r="H16" s="8">
        <v>46281</v>
      </c>
      <c r="I16" s="7">
        <v>3800</v>
      </c>
      <c r="J16" s="7">
        <v>3149</v>
      </c>
      <c r="K16" s="7">
        <v>651</v>
      </c>
      <c r="L16" s="45">
        <v>0.17100000000000001</v>
      </c>
      <c r="M16" s="5">
        <f t="shared" si="0"/>
        <v>3.1125986134353335E-2</v>
      </c>
      <c r="N16" s="9"/>
    </row>
    <row r="17" spans="5:14" x14ac:dyDescent="0.3">
      <c r="E17" s="9">
        <v>33021</v>
      </c>
      <c r="F17" s="32" t="s">
        <v>360</v>
      </c>
      <c r="G17" s="9" t="s">
        <v>79</v>
      </c>
      <c r="H17" s="8">
        <v>46282</v>
      </c>
      <c r="I17" s="9">
        <v>8750</v>
      </c>
      <c r="J17" s="9">
        <v>8203</v>
      </c>
      <c r="K17" s="9">
        <v>547</v>
      </c>
      <c r="L17" s="45">
        <v>6.3E-2</v>
      </c>
      <c r="M17" s="5">
        <f t="shared" si="0"/>
        <v>2.6153478364809944E-2</v>
      </c>
      <c r="N17" s="9"/>
    </row>
    <row r="18" spans="5:14" x14ac:dyDescent="0.3">
      <c r="E18" s="9">
        <v>33216</v>
      </c>
      <c r="F18" s="32" t="s">
        <v>364</v>
      </c>
      <c r="G18" s="9" t="s">
        <v>12</v>
      </c>
      <c r="H18" s="8">
        <v>46282</v>
      </c>
      <c r="I18" s="9">
        <v>10500</v>
      </c>
      <c r="J18" s="9">
        <v>10026</v>
      </c>
      <c r="K18" s="9">
        <v>474</v>
      </c>
      <c r="L18" s="45">
        <v>4.4999999999999998E-2</v>
      </c>
      <c r="M18" s="5">
        <f t="shared" si="0"/>
        <v>2.2663160411188144E-2</v>
      </c>
      <c r="N18" s="9"/>
    </row>
    <row r="19" spans="5:14" x14ac:dyDescent="0.3">
      <c r="E19" s="9">
        <v>33196</v>
      </c>
      <c r="F19" s="32" t="s">
        <v>322</v>
      </c>
      <c r="G19" s="9" t="s">
        <v>30</v>
      </c>
      <c r="H19" s="8">
        <v>46280</v>
      </c>
      <c r="I19" s="7">
        <v>8450</v>
      </c>
      <c r="J19" s="7">
        <v>8097</v>
      </c>
      <c r="K19" s="7">
        <v>353</v>
      </c>
      <c r="L19" s="45">
        <v>4.2000000000000003E-2</v>
      </c>
      <c r="M19" s="5">
        <f t="shared" si="0"/>
        <v>1.6877838871623238E-2</v>
      </c>
      <c r="N19" s="9"/>
    </row>
    <row r="20" spans="5:14" x14ac:dyDescent="0.3">
      <c r="E20" s="9">
        <v>33229</v>
      </c>
      <c r="F20" s="32" t="s">
        <v>363</v>
      </c>
      <c r="G20" s="9" t="s">
        <v>24</v>
      </c>
      <c r="H20" s="8">
        <v>46281</v>
      </c>
      <c r="I20" s="9">
        <v>42400</v>
      </c>
      <c r="J20" s="9">
        <v>42070</v>
      </c>
      <c r="K20" s="9">
        <v>330</v>
      </c>
      <c r="L20" s="45">
        <v>8.0000000000000002E-3</v>
      </c>
      <c r="M20" s="5">
        <f t="shared" si="0"/>
        <v>1.5778149653358834E-2</v>
      </c>
      <c r="N20" s="9"/>
    </row>
    <row r="21" spans="5:14" x14ac:dyDescent="0.3">
      <c r="E21" s="9">
        <v>33239</v>
      </c>
      <c r="F21" s="32" t="s">
        <v>362</v>
      </c>
      <c r="G21" s="9" t="s">
        <v>356</v>
      </c>
      <c r="H21" s="8">
        <v>46281</v>
      </c>
      <c r="I21" s="7">
        <v>7700</v>
      </c>
      <c r="J21" s="7">
        <v>7392</v>
      </c>
      <c r="K21" s="7">
        <v>308</v>
      </c>
      <c r="L21" s="45">
        <v>0.04</v>
      </c>
      <c r="M21" s="5">
        <f t="shared" si="0"/>
        <v>1.4726273009801578E-2</v>
      </c>
      <c r="N21" s="9"/>
    </row>
    <row r="22" spans="5:14" x14ac:dyDescent="0.3">
      <c r="E22" s="9">
        <v>33064</v>
      </c>
      <c r="F22" s="32" t="s">
        <v>361</v>
      </c>
      <c r="G22" s="9" t="s">
        <v>338</v>
      </c>
      <c r="H22" s="8">
        <v>46279</v>
      </c>
      <c r="I22" s="7">
        <v>3300</v>
      </c>
      <c r="J22" s="7">
        <v>3020</v>
      </c>
      <c r="K22" s="7">
        <v>280</v>
      </c>
      <c r="L22" s="45">
        <v>8.5000000000000006E-2</v>
      </c>
      <c r="M22" s="5">
        <f t="shared" si="0"/>
        <v>1.3387520918001434E-2</v>
      </c>
      <c r="N22" s="9"/>
    </row>
    <row r="23" spans="5:14" x14ac:dyDescent="0.3">
      <c r="E23" s="9">
        <v>33025</v>
      </c>
      <c r="F23" s="32" t="s">
        <v>360</v>
      </c>
      <c r="G23" s="9" t="s">
        <v>79</v>
      </c>
      <c r="H23" s="8">
        <v>46282</v>
      </c>
      <c r="I23" s="7">
        <v>8750</v>
      </c>
      <c r="J23" s="7">
        <v>8497</v>
      </c>
      <c r="K23" s="7">
        <v>253</v>
      </c>
      <c r="L23" s="45">
        <v>2.9000000000000001E-2</v>
      </c>
      <c r="M23" s="5">
        <f t="shared" si="0"/>
        <v>1.2096581400908439E-2</v>
      </c>
      <c r="N23" s="9"/>
    </row>
    <row r="24" spans="5:14" x14ac:dyDescent="0.3">
      <c r="E24" s="9">
        <v>33210</v>
      </c>
      <c r="F24" s="32" t="s">
        <v>285</v>
      </c>
      <c r="G24" s="9" t="s">
        <v>14</v>
      </c>
      <c r="H24" s="8">
        <v>46279</v>
      </c>
      <c r="I24" s="7">
        <v>8520</v>
      </c>
      <c r="J24" s="7">
        <v>8288</v>
      </c>
      <c r="K24" s="7">
        <v>232</v>
      </c>
      <c r="L24" s="45">
        <v>2.7E-2</v>
      </c>
      <c r="M24" s="5">
        <f t="shared" si="0"/>
        <v>1.1092517332058332E-2</v>
      </c>
      <c r="N24" s="9"/>
    </row>
    <row r="25" spans="5:14" x14ac:dyDescent="0.3">
      <c r="E25" s="9">
        <v>33262</v>
      </c>
      <c r="F25" s="32" t="s">
        <v>342</v>
      </c>
      <c r="G25" s="9" t="s">
        <v>275</v>
      </c>
      <c r="H25" s="8">
        <v>46281</v>
      </c>
      <c r="I25" s="7">
        <v>7200</v>
      </c>
      <c r="J25" s="7">
        <v>6978</v>
      </c>
      <c r="K25" s="7">
        <v>222</v>
      </c>
      <c r="L25" s="45">
        <v>3.1E-2</v>
      </c>
      <c r="M25" s="5">
        <f t="shared" si="0"/>
        <v>1.0614391584986851E-2</v>
      </c>
      <c r="N25" s="9"/>
    </row>
    <row r="26" spans="5:14" x14ac:dyDescent="0.3">
      <c r="E26" s="9">
        <v>33292</v>
      </c>
      <c r="F26" s="32" t="s">
        <v>342</v>
      </c>
      <c r="G26" s="9" t="s">
        <v>275</v>
      </c>
      <c r="H26" s="8">
        <v>46281</v>
      </c>
      <c r="I26" s="7">
        <v>7200</v>
      </c>
      <c r="J26" s="7">
        <v>6983</v>
      </c>
      <c r="K26" s="7">
        <v>217</v>
      </c>
      <c r="L26" s="45">
        <v>0.03</v>
      </c>
      <c r="M26" s="5">
        <f t="shared" si="0"/>
        <v>1.0375328711451111E-2</v>
      </c>
      <c r="N26" s="9"/>
    </row>
    <row r="27" spans="5:14" x14ac:dyDescent="0.3">
      <c r="E27" s="9">
        <v>33212</v>
      </c>
      <c r="F27" s="32" t="s">
        <v>285</v>
      </c>
      <c r="G27" s="9" t="s">
        <v>14</v>
      </c>
      <c r="H27" s="8">
        <v>46280</v>
      </c>
      <c r="I27" s="7">
        <v>8600</v>
      </c>
      <c r="J27" s="7">
        <v>8384</v>
      </c>
      <c r="K27" s="7">
        <v>216</v>
      </c>
      <c r="L27" s="45">
        <v>2.5000000000000001E-2</v>
      </c>
      <c r="M27" s="5">
        <f t="shared" si="0"/>
        <v>1.0327516136743964E-2</v>
      </c>
      <c r="N27" s="9"/>
    </row>
    <row r="28" spans="5:14" x14ac:dyDescent="0.3">
      <c r="E28" s="9">
        <v>33181</v>
      </c>
      <c r="F28" s="32" t="s">
        <v>359</v>
      </c>
      <c r="G28" s="9" t="s">
        <v>12</v>
      </c>
      <c r="H28" s="8">
        <v>46280</v>
      </c>
      <c r="I28" s="7">
        <v>8400</v>
      </c>
      <c r="J28" s="7">
        <v>8196</v>
      </c>
      <c r="K28" s="7">
        <v>204</v>
      </c>
      <c r="L28" s="45">
        <v>2.4E-2</v>
      </c>
      <c r="M28" s="5">
        <f t="shared" si="0"/>
        <v>9.7537652402581877E-3</v>
      </c>
      <c r="N28" s="9"/>
    </row>
    <row r="29" spans="5:14" x14ac:dyDescent="0.3">
      <c r="E29" s="9">
        <v>33244</v>
      </c>
      <c r="F29" s="32" t="s">
        <v>358</v>
      </c>
      <c r="G29" s="9" t="s">
        <v>30</v>
      </c>
      <c r="H29" s="8">
        <v>46281</v>
      </c>
      <c r="I29" s="7">
        <v>3800</v>
      </c>
      <c r="J29" s="7">
        <v>3613</v>
      </c>
      <c r="K29" s="7">
        <v>187</v>
      </c>
      <c r="L29" s="45">
        <v>4.9000000000000002E-2</v>
      </c>
      <c r="M29" s="5">
        <f t="shared" si="0"/>
        <v>8.9409514702366716E-3</v>
      </c>
      <c r="N29" s="9"/>
    </row>
    <row r="30" spans="5:14" x14ac:dyDescent="0.3">
      <c r="E30" s="9">
        <v>33208</v>
      </c>
      <c r="F30" s="32" t="s">
        <v>285</v>
      </c>
      <c r="G30" s="9" t="s">
        <v>14</v>
      </c>
      <c r="H30" s="8">
        <v>46279</v>
      </c>
      <c r="I30" s="7">
        <v>8400</v>
      </c>
      <c r="J30" s="7">
        <v>8214</v>
      </c>
      <c r="K30" s="7">
        <v>186</v>
      </c>
      <c r="L30" s="45">
        <v>2.1999999999999999E-2</v>
      </c>
      <c r="M30" s="5">
        <f t="shared" si="0"/>
        <v>8.8931388955295239E-3</v>
      </c>
      <c r="N30" s="9"/>
    </row>
    <row r="31" spans="5:14" x14ac:dyDescent="0.3">
      <c r="E31" s="9">
        <v>33211</v>
      </c>
      <c r="F31" s="32" t="s">
        <v>285</v>
      </c>
      <c r="G31" s="9" t="s">
        <v>14</v>
      </c>
      <c r="H31" s="8">
        <v>46280</v>
      </c>
      <c r="I31" s="9">
        <v>8600</v>
      </c>
      <c r="J31" s="9">
        <v>8415</v>
      </c>
      <c r="K31" s="9">
        <v>185</v>
      </c>
      <c r="L31" s="45">
        <v>2.1999999999999999E-2</v>
      </c>
      <c r="M31" s="5">
        <f t="shared" si="0"/>
        <v>8.8453263208223762E-3</v>
      </c>
      <c r="N31" s="9"/>
    </row>
    <row r="32" spans="5:14" x14ac:dyDescent="0.3">
      <c r="E32" s="9">
        <v>33238</v>
      </c>
      <c r="F32" s="32" t="s">
        <v>357</v>
      </c>
      <c r="G32" s="9" t="s">
        <v>356</v>
      </c>
      <c r="H32" s="8">
        <v>46281</v>
      </c>
      <c r="I32" s="7">
        <v>7700</v>
      </c>
      <c r="J32" s="7">
        <v>7546</v>
      </c>
      <c r="K32" s="7">
        <v>154</v>
      </c>
      <c r="L32" s="45">
        <v>0.02</v>
      </c>
      <c r="M32" s="5">
        <f t="shared" si="0"/>
        <v>7.3631365049007889E-3</v>
      </c>
      <c r="N32" s="9"/>
    </row>
    <row r="33" spans="5:14" x14ac:dyDescent="0.3">
      <c r="E33" s="9">
        <v>33207</v>
      </c>
      <c r="F33" s="32" t="s">
        <v>285</v>
      </c>
      <c r="G33" s="9" t="s">
        <v>14</v>
      </c>
      <c r="H33" s="8">
        <v>46279</v>
      </c>
      <c r="I33" s="9">
        <v>8480</v>
      </c>
      <c r="J33" s="9">
        <v>8339</v>
      </c>
      <c r="K33" s="9">
        <v>141</v>
      </c>
      <c r="L33" s="45">
        <v>1.7000000000000001E-2</v>
      </c>
      <c r="M33" s="5">
        <f t="shared" si="0"/>
        <v>6.7415730337078653E-3</v>
      </c>
      <c r="N33" s="9"/>
    </row>
    <row r="34" spans="5:14" x14ac:dyDescent="0.3">
      <c r="E34" s="9">
        <v>33225</v>
      </c>
      <c r="F34" s="32" t="s">
        <v>355</v>
      </c>
      <c r="G34" s="9" t="s">
        <v>30</v>
      </c>
      <c r="H34" s="8">
        <v>46280</v>
      </c>
      <c r="I34" s="9">
        <v>3800</v>
      </c>
      <c r="J34" s="9">
        <v>3679</v>
      </c>
      <c r="K34" s="9">
        <v>121</v>
      </c>
      <c r="L34" s="45">
        <v>3.2000000000000001E-2</v>
      </c>
      <c r="M34" s="5">
        <f t="shared" ref="M34:M61" si="1">K34/$B$8</f>
        <v>5.7853215395649053E-3</v>
      </c>
      <c r="N34" s="9"/>
    </row>
    <row r="35" spans="5:14" x14ac:dyDescent="0.3">
      <c r="E35" s="9">
        <v>33227</v>
      </c>
      <c r="F35" s="32" t="s">
        <v>354</v>
      </c>
      <c r="G35" s="9" t="s">
        <v>30</v>
      </c>
      <c r="H35" s="8">
        <v>46280</v>
      </c>
      <c r="I35" s="7">
        <v>5700</v>
      </c>
      <c r="J35" s="7">
        <v>5582</v>
      </c>
      <c r="K35" s="7">
        <v>118</v>
      </c>
      <c r="L35" s="45">
        <v>2.1000000000000001E-2</v>
      </c>
      <c r="M35" s="5">
        <f t="shared" si="1"/>
        <v>5.6418838154434613E-3</v>
      </c>
      <c r="N35" s="9"/>
    </row>
    <row r="36" spans="5:14" x14ac:dyDescent="0.3">
      <c r="E36" s="9">
        <v>33226</v>
      </c>
      <c r="F36" s="32" t="s">
        <v>31</v>
      </c>
      <c r="G36" s="9" t="s">
        <v>30</v>
      </c>
      <c r="H36" s="8">
        <v>46280</v>
      </c>
      <c r="I36" s="7">
        <v>4230</v>
      </c>
      <c r="J36" s="7">
        <v>4113</v>
      </c>
      <c r="K36" s="7">
        <v>117</v>
      </c>
      <c r="L36" s="45">
        <v>2.8000000000000001E-2</v>
      </c>
      <c r="M36" s="5">
        <f t="shared" si="1"/>
        <v>5.5940712407363136E-3</v>
      </c>
      <c r="N36" s="9"/>
    </row>
    <row r="37" spans="5:14" x14ac:dyDescent="0.3">
      <c r="E37" s="9">
        <v>33223</v>
      </c>
      <c r="F37" s="32" t="s">
        <v>353</v>
      </c>
      <c r="G37" s="9" t="s">
        <v>352</v>
      </c>
      <c r="H37" s="8">
        <v>46280</v>
      </c>
      <c r="I37" s="7">
        <v>3800</v>
      </c>
      <c r="J37" s="7">
        <v>3708</v>
      </c>
      <c r="K37" s="7">
        <v>92</v>
      </c>
      <c r="L37" s="45">
        <v>2.4E-2</v>
      </c>
      <c r="M37" s="5">
        <f t="shared" si="1"/>
        <v>4.3987568730576142E-3</v>
      </c>
      <c r="N37" s="9"/>
    </row>
    <row r="38" spans="5:14" x14ac:dyDescent="0.3">
      <c r="E38" s="9">
        <v>33213</v>
      </c>
      <c r="F38" s="32" t="s">
        <v>285</v>
      </c>
      <c r="G38" s="9" t="s">
        <v>14</v>
      </c>
      <c r="H38" s="8">
        <v>46279</v>
      </c>
      <c r="I38" s="7">
        <v>8400</v>
      </c>
      <c r="J38" s="7">
        <v>8313</v>
      </c>
      <c r="K38" s="7">
        <v>87</v>
      </c>
      <c r="L38" s="45">
        <v>0.01</v>
      </c>
      <c r="M38" s="5">
        <f t="shared" si="1"/>
        <v>4.159693999521874E-3</v>
      </c>
      <c r="N38" s="9"/>
    </row>
    <row r="39" spans="5:14" x14ac:dyDescent="0.3">
      <c r="E39" s="9">
        <v>33219</v>
      </c>
      <c r="F39" s="32" t="s">
        <v>351</v>
      </c>
      <c r="G39" s="9" t="s">
        <v>12</v>
      </c>
      <c r="H39" s="8">
        <v>46279</v>
      </c>
      <c r="I39" s="9">
        <v>4500</v>
      </c>
      <c r="J39" s="9">
        <v>4460</v>
      </c>
      <c r="K39" s="9">
        <v>40</v>
      </c>
      <c r="L39" s="45">
        <v>8.9999999999999993E-3</v>
      </c>
      <c r="M39" s="5">
        <f t="shared" si="1"/>
        <v>1.9125029882859192E-3</v>
      </c>
      <c r="N39" s="9"/>
    </row>
    <row r="40" spans="5:14" x14ac:dyDescent="0.3">
      <c r="E40" s="9">
        <v>33290</v>
      </c>
      <c r="F40" s="32" t="s">
        <v>350</v>
      </c>
      <c r="G40" s="9" t="s">
        <v>2</v>
      </c>
      <c r="H40" s="8">
        <v>46281</v>
      </c>
      <c r="I40" s="7">
        <v>1600</v>
      </c>
      <c r="J40" s="7">
        <v>1565</v>
      </c>
      <c r="K40" s="7">
        <v>35</v>
      </c>
      <c r="L40" s="45">
        <v>2.1999999999999999E-2</v>
      </c>
      <c r="M40" s="5">
        <f t="shared" si="1"/>
        <v>1.6734401147501792E-3</v>
      </c>
      <c r="N40" s="9"/>
    </row>
    <row r="41" spans="5:14" x14ac:dyDescent="0.3">
      <c r="E41" s="9">
        <v>33191</v>
      </c>
      <c r="F41" s="32" t="s">
        <v>346</v>
      </c>
      <c r="G41" s="9" t="s">
        <v>2</v>
      </c>
      <c r="H41" s="8">
        <v>46279</v>
      </c>
      <c r="I41" s="7">
        <v>1000</v>
      </c>
      <c r="J41" s="7">
        <v>970</v>
      </c>
      <c r="K41" s="7">
        <v>30</v>
      </c>
      <c r="L41" s="45">
        <v>0.03</v>
      </c>
      <c r="M41" s="5">
        <f t="shared" si="1"/>
        <v>1.4343772412144394E-3</v>
      </c>
      <c r="N41" s="9"/>
    </row>
    <row r="42" spans="5:14" x14ac:dyDescent="0.3">
      <c r="E42" s="9">
        <v>33222</v>
      </c>
      <c r="F42" s="9" t="s">
        <v>349</v>
      </c>
      <c r="G42" s="9" t="s">
        <v>348</v>
      </c>
      <c r="H42" s="8">
        <v>46280</v>
      </c>
      <c r="I42" s="9">
        <v>3500</v>
      </c>
      <c r="J42" s="9">
        <v>3476</v>
      </c>
      <c r="K42" s="9">
        <v>24</v>
      </c>
      <c r="L42" s="45">
        <v>7.0000000000000001E-3</v>
      </c>
      <c r="M42" s="5">
        <f t="shared" si="1"/>
        <v>1.1475017929715515E-3</v>
      </c>
      <c r="N42" s="9"/>
    </row>
    <row r="43" spans="5:14" x14ac:dyDescent="0.3">
      <c r="E43" s="9">
        <v>33099</v>
      </c>
      <c r="F43" s="9" t="s">
        <v>299</v>
      </c>
      <c r="G43" s="9" t="s">
        <v>79</v>
      </c>
      <c r="H43" s="8">
        <v>46279</v>
      </c>
      <c r="I43" s="7">
        <v>15600</v>
      </c>
      <c r="J43" s="7">
        <v>15600</v>
      </c>
      <c r="K43" s="7">
        <v>0</v>
      </c>
      <c r="L43" s="45">
        <v>0</v>
      </c>
      <c r="M43" s="5">
        <f t="shared" si="1"/>
        <v>0</v>
      </c>
      <c r="N43" s="9"/>
    </row>
    <row r="44" spans="5:14" x14ac:dyDescent="0.3">
      <c r="E44" s="9">
        <v>33171</v>
      </c>
      <c r="F44" s="9" t="s">
        <v>299</v>
      </c>
      <c r="G44" s="9" t="s">
        <v>79</v>
      </c>
      <c r="H44" s="8">
        <v>46282</v>
      </c>
      <c r="I44" s="9">
        <v>6600</v>
      </c>
      <c r="J44" s="9">
        <v>6600</v>
      </c>
      <c r="K44" s="9">
        <v>0</v>
      </c>
      <c r="L44" s="45">
        <v>0</v>
      </c>
      <c r="M44" s="5">
        <f t="shared" si="1"/>
        <v>0</v>
      </c>
      <c r="N44" s="9"/>
    </row>
    <row r="45" spans="5:14" x14ac:dyDescent="0.3">
      <c r="E45" s="9">
        <v>33192</v>
      </c>
      <c r="F45" s="9" t="s">
        <v>347</v>
      </c>
      <c r="G45" s="9" t="s">
        <v>2</v>
      </c>
      <c r="H45" s="8">
        <v>46279</v>
      </c>
      <c r="I45" s="7">
        <v>1200</v>
      </c>
      <c r="J45" s="7">
        <v>1225</v>
      </c>
      <c r="K45" s="7">
        <v>0</v>
      </c>
      <c r="L45" s="45">
        <v>0</v>
      </c>
      <c r="M45" s="5">
        <f t="shared" si="1"/>
        <v>0</v>
      </c>
      <c r="N45" s="9"/>
    </row>
    <row r="46" spans="5:14" x14ac:dyDescent="0.3">
      <c r="E46" s="9">
        <v>33197</v>
      </c>
      <c r="F46" s="9" t="s">
        <v>345</v>
      </c>
      <c r="G46" s="9" t="s">
        <v>12</v>
      </c>
      <c r="H46" s="8">
        <v>46279</v>
      </c>
      <c r="I46" s="7">
        <v>3000</v>
      </c>
      <c r="J46" s="7">
        <v>3160</v>
      </c>
      <c r="K46" s="7">
        <v>0</v>
      </c>
      <c r="L46" s="45">
        <v>0</v>
      </c>
      <c r="M46" s="5">
        <f t="shared" si="1"/>
        <v>0</v>
      </c>
      <c r="N46" s="9"/>
    </row>
    <row r="47" spans="5:14" x14ac:dyDescent="0.3">
      <c r="E47" s="9">
        <v>33198</v>
      </c>
      <c r="F47" s="9" t="s">
        <v>306</v>
      </c>
      <c r="G47" s="9" t="s">
        <v>12</v>
      </c>
      <c r="H47" s="8">
        <v>46279</v>
      </c>
      <c r="I47" s="7">
        <v>4500</v>
      </c>
      <c r="J47" s="7">
        <v>4700</v>
      </c>
      <c r="K47" s="7">
        <v>0</v>
      </c>
      <c r="L47" s="45">
        <v>0</v>
      </c>
      <c r="M47" s="5">
        <f t="shared" si="1"/>
        <v>0</v>
      </c>
      <c r="N47" s="9"/>
    </row>
    <row r="48" spans="5:14" x14ac:dyDescent="0.3">
      <c r="E48" s="9">
        <v>33199</v>
      </c>
      <c r="F48" s="9" t="s">
        <v>303</v>
      </c>
      <c r="G48" s="9" t="s">
        <v>12</v>
      </c>
      <c r="H48" s="8">
        <v>46279</v>
      </c>
      <c r="I48" s="7">
        <v>5600</v>
      </c>
      <c r="J48" s="7">
        <v>5672</v>
      </c>
      <c r="K48" s="7">
        <v>0</v>
      </c>
      <c r="L48" s="45">
        <v>0</v>
      </c>
      <c r="M48" s="5">
        <f t="shared" si="1"/>
        <v>0</v>
      </c>
      <c r="N48" s="9"/>
    </row>
    <row r="49" spans="5:14" x14ac:dyDescent="0.3">
      <c r="E49" s="9">
        <v>33209</v>
      </c>
      <c r="F49" s="9" t="s">
        <v>346</v>
      </c>
      <c r="G49" s="9" t="s">
        <v>2</v>
      </c>
      <c r="H49" s="8">
        <v>46279</v>
      </c>
      <c r="I49" s="7">
        <v>1000</v>
      </c>
      <c r="J49" s="7">
        <v>1010</v>
      </c>
      <c r="K49" s="7">
        <v>0</v>
      </c>
      <c r="L49" s="45">
        <v>0</v>
      </c>
      <c r="M49" s="5">
        <f t="shared" si="1"/>
        <v>0</v>
      </c>
      <c r="N49" s="9"/>
    </row>
    <row r="50" spans="5:14" x14ac:dyDescent="0.3">
      <c r="E50" s="9">
        <v>33214</v>
      </c>
      <c r="F50" s="9" t="s">
        <v>256</v>
      </c>
      <c r="G50" s="9" t="s">
        <v>12</v>
      </c>
      <c r="H50" s="8">
        <v>46279</v>
      </c>
      <c r="I50" s="7">
        <v>10000</v>
      </c>
      <c r="J50" s="7">
        <v>10000</v>
      </c>
      <c r="K50" s="7">
        <v>0</v>
      </c>
      <c r="L50" s="45">
        <v>0</v>
      </c>
      <c r="M50" s="5">
        <f t="shared" si="1"/>
        <v>0</v>
      </c>
      <c r="N50" s="9"/>
    </row>
    <row r="51" spans="5:14" x14ac:dyDescent="0.3">
      <c r="E51" s="9">
        <v>33217</v>
      </c>
      <c r="F51" s="9" t="s">
        <v>307</v>
      </c>
      <c r="G51" s="9" t="s">
        <v>12</v>
      </c>
      <c r="H51" s="8">
        <v>46279</v>
      </c>
      <c r="I51" s="9">
        <v>1500</v>
      </c>
      <c r="J51" s="9">
        <v>1520</v>
      </c>
      <c r="K51" s="9">
        <v>0</v>
      </c>
      <c r="L51" s="45">
        <v>0</v>
      </c>
      <c r="M51" s="5">
        <f t="shared" si="1"/>
        <v>0</v>
      </c>
      <c r="N51" s="9"/>
    </row>
    <row r="52" spans="5:14" x14ac:dyDescent="0.3">
      <c r="E52" s="9">
        <v>33218</v>
      </c>
      <c r="F52" s="9" t="s">
        <v>306</v>
      </c>
      <c r="G52" s="9" t="s">
        <v>12</v>
      </c>
      <c r="H52" s="8">
        <v>46279</v>
      </c>
      <c r="I52" s="9">
        <v>1000</v>
      </c>
      <c r="J52" s="9">
        <v>1120</v>
      </c>
      <c r="K52" s="9">
        <v>0</v>
      </c>
      <c r="L52" s="45">
        <v>0</v>
      </c>
      <c r="M52" s="5">
        <f t="shared" si="1"/>
        <v>0</v>
      </c>
      <c r="N52" s="9"/>
    </row>
    <row r="53" spans="5:14" x14ac:dyDescent="0.3">
      <c r="E53" s="9">
        <v>33220</v>
      </c>
      <c r="F53" s="9" t="s">
        <v>345</v>
      </c>
      <c r="G53" s="9" t="s">
        <v>12</v>
      </c>
      <c r="H53" s="8">
        <v>46279</v>
      </c>
      <c r="I53" s="9">
        <v>2000</v>
      </c>
      <c r="J53" s="9">
        <v>2030</v>
      </c>
      <c r="K53" s="9">
        <v>0</v>
      </c>
      <c r="L53" s="45">
        <v>0</v>
      </c>
      <c r="M53" s="5">
        <f t="shared" si="1"/>
        <v>0</v>
      </c>
      <c r="N53" s="9"/>
    </row>
    <row r="54" spans="5:14" x14ac:dyDescent="0.3">
      <c r="E54" s="9">
        <v>33221</v>
      </c>
      <c r="F54" s="9" t="s">
        <v>306</v>
      </c>
      <c r="G54" s="9" t="s">
        <v>12</v>
      </c>
      <c r="H54" s="8">
        <v>46279</v>
      </c>
      <c r="I54" s="9">
        <v>500</v>
      </c>
      <c r="J54" s="9">
        <v>510</v>
      </c>
      <c r="K54" s="9">
        <v>0</v>
      </c>
      <c r="L54" s="45">
        <v>0</v>
      </c>
      <c r="M54" s="5">
        <f t="shared" si="1"/>
        <v>0</v>
      </c>
      <c r="N54" s="9"/>
    </row>
    <row r="55" spans="5:14" x14ac:dyDescent="0.3">
      <c r="E55" s="9">
        <v>33230</v>
      </c>
      <c r="F55" s="9" t="s">
        <v>306</v>
      </c>
      <c r="G55" s="9" t="s">
        <v>12</v>
      </c>
      <c r="H55" s="8">
        <v>46279</v>
      </c>
      <c r="I55" s="9">
        <v>1000</v>
      </c>
      <c r="J55" s="9">
        <v>1010</v>
      </c>
      <c r="K55" s="9">
        <v>0</v>
      </c>
      <c r="L55" s="45">
        <v>0</v>
      </c>
      <c r="M55" s="5">
        <f t="shared" si="1"/>
        <v>0</v>
      </c>
      <c r="N55" s="9"/>
    </row>
    <row r="56" spans="5:14" x14ac:dyDescent="0.3">
      <c r="E56" s="9">
        <v>33231</v>
      </c>
      <c r="F56" s="9" t="s">
        <v>306</v>
      </c>
      <c r="G56" s="9" t="s">
        <v>12</v>
      </c>
      <c r="H56" s="8">
        <v>46279</v>
      </c>
      <c r="I56" s="9">
        <v>500</v>
      </c>
      <c r="J56" s="9">
        <v>500</v>
      </c>
      <c r="K56" s="9">
        <v>0</v>
      </c>
      <c r="L56" s="45">
        <v>0</v>
      </c>
      <c r="M56" s="5">
        <f t="shared" si="1"/>
        <v>0</v>
      </c>
      <c r="N56" s="9"/>
    </row>
    <row r="57" spans="5:14" x14ac:dyDescent="0.3">
      <c r="E57" s="9">
        <v>33232</v>
      </c>
      <c r="F57" s="9" t="s">
        <v>306</v>
      </c>
      <c r="G57" s="9" t="s">
        <v>12</v>
      </c>
      <c r="H57" s="8">
        <v>46279</v>
      </c>
      <c r="I57" s="9">
        <v>500</v>
      </c>
      <c r="J57" s="9">
        <v>500</v>
      </c>
      <c r="K57" s="9">
        <v>0</v>
      </c>
      <c r="L57" s="45">
        <v>0</v>
      </c>
      <c r="M57" s="5">
        <f t="shared" si="1"/>
        <v>0</v>
      </c>
      <c r="N57" s="9"/>
    </row>
    <row r="58" spans="5:14" x14ac:dyDescent="0.3">
      <c r="E58" s="9">
        <v>33251</v>
      </c>
      <c r="F58" s="9" t="s">
        <v>344</v>
      </c>
      <c r="G58" s="9" t="s">
        <v>286</v>
      </c>
      <c r="H58" s="8">
        <v>46282</v>
      </c>
      <c r="I58" s="9">
        <v>2000</v>
      </c>
      <c r="J58" s="9">
        <v>2009</v>
      </c>
      <c r="K58" s="9">
        <v>0</v>
      </c>
      <c r="L58" s="45">
        <v>0</v>
      </c>
      <c r="M58" s="5">
        <f t="shared" si="1"/>
        <v>0</v>
      </c>
      <c r="N58" s="9"/>
    </row>
    <row r="59" spans="5:14" x14ac:dyDescent="0.3">
      <c r="E59" s="9">
        <v>33289</v>
      </c>
      <c r="F59" s="9" t="s">
        <v>343</v>
      </c>
      <c r="G59" s="9" t="s">
        <v>2</v>
      </c>
      <c r="H59" s="8">
        <v>46281</v>
      </c>
      <c r="I59" s="9">
        <v>1600</v>
      </c>
      <c r="J59" s="9">
        <v>1610</v>
      </c>
      <c r="K59" s="9">
        <v>0</v>
      </c>
      <c r="L59" s="45">
        <v>0</v>
      </c>
      <c r="M59" s="5">
        <f t="shared" si="1"/>
        <v>0</v>
      </c>
      <c r="N59" s="9"/>
    </row>
    <row r="60" spans="5:14" x14ac:dyDescent="0.3">
      <c r="E60" s="9">
        <v>33291</v>
      </c>
      <c r="F60" s="9" t="s">
        <v>342</v>
      </c>
      <c r="G60" s="9" t="s">
        <v>275</v>
      </c>
      <c r="H60" s="8">
        <v>46281</v>
      </c>
      <c r="I60" s="9">
        <v>7200</v>
      </c>
      <c r="J60" s="9">
        <v>7261</v>
      </c>
      <c r="K60" s="9">
        <v>0</v>
      </c>
      <c r="L60" s="45">
        <v>0</v>
      </c>
      <c r="M60" s="5">
        <f t="shared" si="1"/>
        <v>0</v>
      </c>
      <c r="N60" s="9"/>
    </row>
    <row r="61" spans="5:14" x14ac:dyDescent="0.3">
      <c r="E61" s="9">
        <v>33293</v>
      </c>
      <c r="F61" s="9" t="s">
        <v>342</v>
      </c>
      <c r="G61" s="9" t="s">
        <v>275</v>
      </c>
      <c r="H61" s="8">
        <v>46281</v>
      </c>
      <c r="I61" s="9">
        <v>7200</v>
      </c>
      <c r="J61" s="9">
        <v>7208</v>
      </c>
      <c r="K61" s="9">
        <v>0</v>
      </c>
      <c r="L61" s="45">
        <v>0</v>
      </c>
      <c r="M61" s="5">
        <f t="shared" si="1"/>
        <v>0</v>
      </c>
      <c r="N61" s="9"/>
    </row>
  </sheetData>
  <autoFilter ref="E1:N1" xr:uid="{ED0A2852-B90F-4E5C-9DCF-FC384D5546E0}">
    <sortState xmlns:xlrd2="http://schemas.microsoft.com/office/spreadsheetml/2017/richdata2" ref="E2:N74">
      <sortCondition descending="1" ref="L1"/>
    </sortState>
  </autoFilter>
  <mergeCells count="1">
    <mergeCell ref="A1:B1"/>
  </mergeCells>
  <conditionalFormatting sqref="D2:D6">
    <cfRule type="duplicateValues" dxfId="8" priority="3"/>
  </conditionalFormatting>
  <conditionalFormatting sqref="D7">
    <cfRule type="duplicateValues" dxfId="7" priority="2"/>
  </conditionalFormatting>
  <conditionalFormatting sqref="D8">
    <cfRule type="duplicateValues" dxfId="6" priority="1"/>
  </conditionalFormatting>
  <conditionalFormatting sqref="E2:E41">
    <cfRule type="duplicateValues" dxfId="5" priority="4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024-5F0D-4E6A-81D7-40C6008A8F2F}">
  <sheetPr>
    <tabColor rgb="FFFF0000"/>
    <pageSetUpPr fitToPage="1"/>
  </sheetPr>
  <dimension ref="A1:N90"/>
  <sheetViews>
    <sheetView topLeftCell="F1" zoomScaleNormal="100" workbookViewId="0">
      <selection activeCell="M2" sqref="M2:M90"/>
    </sheetView>
  </sheetViews>
  <sheetFormatPr baseColWidth="10" defaultRowHeight="14.4" x14ac:dyDescent="0.3"/>
  <cols>
    <col min="1" max="1" width="23.21875" bestFit="1" customWidth="1"/>
    <col min="2" max="3" width="10.44140625" customWidth="1"/>
    <col min="4" max="4" width="12.77734375" customWidth="1"/>
    <col min="5" max="5" width="6" bestFit="1" customWidth="1"/>
    <col min="6" max="6" width="78.33203125" bestFit="1" customWidth="1"/>
    <col min="7" max="7" width="32.109375" bestFit="1" customWidth="1"/>
    <col min="8" max="8" width="19.33203125" bestFit="1" customWidth="1"/>
    <col min="9" max="9" width="20.5546875" style="31" bestFit="1" customWidth="1"/>
    <col min="10" max="10" width="22.6640625" style="31" bestFit="1" customWidth="1"/>
    <col min="11" max="11" width="12.6640625" style="31" bestFit="1" customWidth="1"/>
    <col min="12" max="12" width="11.6640625" style="3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C1" s="54"/>
      <c r="E1" s="23" t="s">
        <v>118</v>
      </c>
      <c r="F1" s="42" t="s">
        <v>117</v>
      </c>
      <c r="G1" s="23" t="s">
        <v>116</v>
      </c>
      <c r="H1" s="47" t="s">
        <v>115</v>
      </c>
      <c r="I1" s="30" t="s">
        <v>114</v>
      </c>
      <c r="J1" s="30" t="s">
        <v>113</v>
      </c>
      <c r="K1" s="30" t="s">
        <v>112</v>
      </c>
      <c r="L1" s="53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46286</v>
      </c>
      <c r="C2" s="4"/>
      <c r="E2" s="9">
        <v>32969</v>
      </c>
      <c r="F2" s="32" t="s">
        <v>250</v>
      </c>
      <c r="G2" s="9" t="s">
        <v>176</v>
      </c>
      <c r="H2" s="8">
        <v>46290</v>
      </c>
      <c r="I2" s="7">
        <v>16000</v>
      </c>
      <c r="J2" s="7">
        <v>13295</v>
      </c>
      <c r="K2" s="7">
        <v>2705</v>
      </c>
      <c r="L2" s="6">
        <f t="shared" ref="L2:L33" si="0">K2/I2</f>
        <v>0.1690625</v>
      </c>
      <c r="M2" s="5">
        <f t="shared" ref="M2:M33" si="1">K2/$B$8</f>
        <v>7.33718501641034E-2</v>
      </c>
      <c r="N2" s="9"/>
    </row>
    <row r="3" spans="1:14" x14ac:dyDescent="0.3">
      <c r="A3" s="15" t="s">
        <v>107</v>
      </c>
      <c r="B3" s="8">
        <v>46290</v>
      </c>
      <c r="C3" s="4"/>
      <c r="E3" s="9">
        <v>33108</v>
      </c>
      <c r="F3" s="32" t="s">
        <v>397</v>
      </c>
      <c r="G3" s="9" t="s">
        <v>12</v>
      </c>
      <c r="H3" s="8">
        <v>46288</v>
      </c>
      <c r="I3" s="7">
        <v>20000</v>
      </c>
      <c r="J3" s="7">
        <v>17750</v>
      </c>
      <c r="K3" s="7">
        <v>2250</v>
      </c>
      <c r="L3" s="6">
        <f t="shared" si="0"/>
        <v>0.1125</v>
      </c>
      <c r="M3" s="5">
        <f t="shared" si="1"/>
        <v>6.1030189600455691E-2</v>
      </c>
      <c r="N3" s="9"/>
    </row>
    <row r="4" spans="1:14" x14ac:dyDescent="0.3">
      <c r="E4" s="9">
        <v>32965</v>
      </c>
      <c r="F4" s="32" t="s">
        <v>250</v>
      </c>
      <c r="G4" s="9" t="s">
        <v>176</v>
      </c>
      <c r="H4" s="8">
        <v>46288</v>
      </c>
      <c r="I4" s="7">
        <v>16000</v>
      </c>
      <c r="J4" s="7">
        <v>14213</v>
      </c>
      <c r="K4" s="7">
        <v>1787</v>
      </c>
      <c r="L4" s="6">
        <f t="shared" si="0"/>
        <v>0.1116875</v>
      </c>
      <c r="M4" s="5">
        <f t="shared" si="1"/>
        <v>4.8471532807117475E-2</v>
      </c>
      <c r="N4" s="9"/>
    </row>
    <row r="5" spans="1:14" x14ac:dyDescent="0.3">
      <c r="A5" s="15" t="s">
        <v>105</v>
      </c>
      <c r="B5" s="9">
        <f>SUBTOTAL(3,E2:E1048576)</f>
        <v>89</v>
      </c>
      <c r="E5" s="9">
        <v>32786</v>
      </c>
      <c r="F5" s="32" t="s">
        <v>293</v>
      </c>
      <c r="G5" s="9" t="s">
        <v>12</v>
      </c>
      <c r="H5" s="8">
        <v>46287</v>
      </c>
      <c r="I5" s="7">
        <v>20000</v>
      </c>
      <c r="J5" s="7">
        <v>18450</v>
      </c>
      <c r="K5" s="7">
        <v>1550</v>
      </c>
      <c r="L5" s="6">
        <f t="shared" si="0"/>
        <v>7.7499999999999999E-2</v>
      </c>
      <c r="M5" s="5">
        <f t="shared" si="1"/>
        <v>4.2043019502536146E-2</v>
      </c>
      <c r="N5" s="9"/>
    </row>
    <row r="6" spans="1:14" x14ac:dyDescent="0.3">
      <c r="A6" s="15" t="s">
        <v>103</v>
      </c>
      <c r="B6" s="20">
        <f>SUBTOTAL(9,I:I)</f>
        <v>867455</v>
      </c>
      <c r="C6" s="28"/>
      <c r="E6" s="9">
        <v>33281</v>
      </c>
      <c r="F6" s="32" t="s">
        <v>393</v>
      </c>
      <c r="G6" s="9" t="s">
        <v>12</v>
      </c>
      <c r="H6" s="8">
        <v>46288</v>
      </c>
      <c r="I6" s="7">
        <v>6300</v>
      </c>
      <c r="J6" s="7">
        <v>4822</v>
      </c>
      <c r="K6" s="7">
        <v>1478</v>
      </c>
      <c r="L6" s="6">
        <f t="shared" si="0"/>
        <v>0.23460317460317459</v>
      </c>
      <c r="M6" s="5">
        <f t="shared" si="1"/>
        <v>4.0090053435321564E-2</v>
      </c>
      <c r="N6" s="9"/>
    </row>
    <row r="7" spans="1:14" x14ac:dyDescent="0.3">
      <c r="A7" s="15" t="s">
        <v>101</v>
      </c>
      <c r="B7" s="20">
        <f>SUBTOTAL(9,J:J)</f>
        <v>831599</v>
      </c>
      <c r="C7" s="28"/>
      <c r="E7" s="9">
        <v>32776</v>
      </c>
      <c r="F7" s="32" t="s">
        <v>371</v>
      </c>
      <c r="G7" s="9" t="s">
        <v>12</v>
      </c>
      <c r="H7" s="8">
        <v>46290</v>
      </c>
      <c r="I7" s="7">
        <v>16000</v>
      </c>
      <c r="J7" s="7">
        <v>14550</v>
      </c>
      <c r="K7" s="7">
        <v>1450</v>
      </c>
      <c r="L7" s="6">
        <f t="shared" si="0"/>
        <v>9.0624999999999997E-2</v>
      </c>
      <c r="M7" s="5">
        <f t="shared" si="1"/>
        <v>3.933056663140478E-2</v>
      </c>
      <c r="N7" s="9"/>
    </row>
    <row r="8" spans="1:14" x14ac:dyDescent="0.3">
      <c r="A8" s="15" t="s">
        <v>99</v>
      </c>
      <c r="B8" s="20">
        <f>SUBTOTAL(9,K:K)</f>
        <v>36867</v>
      </c>
      <c r="C8" s="28"/>
      <c r="E8" s="9">
        <v>33283</v>
      </c>
      <c r="F8" s="32" t="s">
        <v>359</v>
      </c>
      <c r="G8" s="9" t="s">
        <v>12</v>
      </c>
      <c r="H8" s="8">
        <v>46288</v>
      </c>
      <c r="I8" s="7">
        <v>8400</v>
      </c>
      <c r="J8" s="7">
        <v>7105</v>
      </c>
      <c r="K8" s="7">
        <v>1295</v>
      </c>
      <c r="L8" s="6">
        <f t="shared" si="0"/>
        <v>0.15416666666666667</v>
      </c>
      <c r="M8" s="5">
        <f t="shared" si="1"/>
        <v>3.5126264681151168E-2</v>
      </c>
      <c r="N8" s="9"/>
    </row>
    <row r="9" spans="1:14" x14ac:dyDescent="0.3">
      <c r="A9" s="15" t="s">
        <v>98</v>
      </c>
      <c r="B9" s="18">
        <f>B8/B6</f>
        <v>4.2500187329602111E-2</v>
      </c>
      <c r="C9" s="52"/>
      <c r="E9" s="9">
        <v>33206</v>
      </c>
      <c r="F9" s="32" t="s">
        <v>400</v>
      </c>
      <c r="G9" s="9" t="s">
        <v>206</v>
      </c>
      <c r="H9" s="8">
        <v>46286</v>
      </c>
      <c r="I9" s="7">
        <v>6000</v>
      </c>
      <c r="J9" s="7">
        <v>4760</v>
      </c>
      <c r="K9" s="7">
        <v>1240</v>
      </c>
      <c r="L9" s="6">
        <f t="shared" si="0"/>
        <v>0.20666666666666667</v>
      </c>
      <c r="M9" s="5">
        <f t="shared" si="1"/>
        <v>3.3634415602028914E-2</v>
      </c>
      <c r="N9" s="9"/>
    </row>
    <row r="10" spans="1:14" x14ac:dyDescent="0.3">
      <c r="A10" s="15" t="s">
        <v>96</v>
      </c>
      <c r="B10" s="9">
        <f>COUNTIF(L:L,"&gt;=5%")</f>
        <v>27</v>
      </c>
      <c r="E10" s="9">
        <v>33109</v>
      </c>
      <c r="F10" s="32" t="s">
        <v>397</v>
      </c>
      <c r="G10" s="9" t="s">
        <v>12</v>
      </c>
      <c r="H10" s="8">
        <v>46288</v>
      </c>
      <c r="I10" s="7">
        <v>20000</v>
      </c>
      <c r="J10" s="7">
        <v>18925</v>
      </c>
      <c r="K10" s="7">
        <v>1075</v>
      </c>
      <c r="L10" s="6">
        <f t="shared" si="0"/>
        <v>5.3749999999999999E-2</v>
      </c>
      <c r="M10" s="5">
        <f t="shared" si="1"/>
        <v>2.9158868364662163E-2</v>
      </c>
      <c r="N10" s="9"/>
    </row>
    <row r="11" spans="1:14" x14ac:dyDescent="0.3">
      <c r="A11" s="15" t="s">
        <v>95</v>
      </c>
      <c r="B11" s="48">
        <f>B10/B5</f>
        <v>0.30337078651685395</v>
      </c>
      <c r="C11" s="51"/>
      <c r="E11" s="9">
        <v>33284</v>
      </c>
      <c r="F11" s="32" t="s">
        <v>384</v>
      </c>
      <c r="G11" s="9" t="s">
        <v>12</v>
      </c>
      <c r="H11" s="8">
        <v>46288</v>
      </c>
      <c r="I11" s="7">
        <v>8400</v>
      </c>
      <c r="J11" s="7">
        <v>7394</v>
      </c>
      <c r="K11" s="7">
        <v>1006</v>
      </c>
      <c r="L11" s="6">
        <f t="shared" si="0"/>
        <v>0.11976190476190476</v>
      </c>
      <c r="M11" s="5">
        <f t="shared" si="1"/>
        <v>2.7287275883581524E-2</v>
      </c>
      <c r="N11" s="9"/>
    </row>
    <row r="12" spans="1:14" x14ac:dyDescent="0.3">
      <c r="E12" s="9">
        <v>32968</v>
      </c>
      <c r="F12" s="32" t="s">
        <v>250</v>
      </c>
      <c r="G12" s="9" t="s">
        <v>176</v>
      </c>
      <c r="H12" s="8">
        <v>46290</v>
      </c>
      <c r="I12" s="7">
        <v>16000</v>
      </c>
      <c r="J12" s="7">
        <v>15000</v>
      </c>
      <c r="K12" s="7">
        <v>1000</v>
      </c>
      <c r="L12" s="6">
        <f t="shared" si="0"/>
        <v>6.25E-2</v>
      </c>
      <c r="M12" s="5">
        <f t="shared" si="1"/>
        <v>2.7124528711313642E-2</v>
      </c>
      <c r="N12" s="9"/>
    </row>
    <row r="13" spans="1:14" x14ac:dyDescent="0.3">
      <c r="E13" s="9">
        <v>33113</v>
      </c>
      <c r="F13" s="32" t="s">
        <v>397</v>
      </c>
      <c r="G13" s="9" t="s">
        <v>12</v>
      </c>
      <c r="H13" s="8">
        <v>46290</v>
      </c>
      <c r="I13" s="7">
        <v>20000</v>
      </c>
      <c r="J13" s="7">
        <v>19100</v>
      </c>
      <c r="K13" s="7">
        <v>900</v>
      </c>
      <c r="L13" s="6">
        <f t="shared" si="0"/>
        <v>4.4999999999999998E-2</v>
      </c>
      <c r="M13" s="5">
        <f t="shared" si="1"/>
        <v>2.4412075840182276E-2</v>
      </c>
      <c r="N13" s="9"/>
    </row>
    <row r="14" spans="1:14" x14ac:dyDescent="0.3">
      <c r="A14" s="26" t="s">
        <v>398</v>
      </c>
      <c r="B14" s="27">
        <f>B8-'[1]21-09'!B8</f>
        <v>15952</v>
      </c>
      <c r="C14" s="50"/>
      <c r="E14" s="9">
        <v>33279</v>
      </c>
      <c r="F14" s="32" t="s">
        <v>399</v>
      </c>
      <c r="G14" s="9" t="s">
        <v>12</v>
      </c>
      <c r="H14" s="8">
        <v>46287</v>
      </c>
      <c r="I14" s="7">
        <v>10500</v>
      </c>
      <c r="J14" s="7">
        <v>9614</v>
      </c>
      <c r="K14" s="7">
        <v>886</v>
      </c>
      <c r="L14" s="6">
        <f t="shared" si="0"/>
        <v>8.4380952380952376E-2</v>
      </c>
      <c r="M14" s="5">
        <f t="shared" si="1"/>
        <v>2.4032332438223884E-2</v>
      </c>
      <c r="N14" s="9"/>
    </row>
    <row r="15" spans="1:14" x14ac:dyDescent="0.3">
      <c r="A15" s="26" t="s">
        <v>398</v>
      </c>
      <c r="B15" s="25">
        <f>B9-'[1]21-09'!B9</f>
        <v>-9.8999730151390838E-3</v>
      </c>
      <c r="C15" s="49"/>
      <c r="E15" s="9">
        <v>32778</v>
      </c>
      <c r="F15" s="32" t="s">
        <v>371</v>
      </c>
      <c r="G15" s="9" t="s">
        <v>12</v>
      </c>
      <c r="H15" s="8">
        <v>46290</v>
      </c>
      <c r="I15" s="7">
        <v>16000</v>
      </c>
      <c r="J15" s="7">
        <v>15125</v>
      </c>
      <c r="K15" s="7">
        <v>875</v>
      </c>
      <c r="L15" s="6">
        <f t="shared" si="0"/>
        <v>5.46875E-2</v>
      </c>
      <c r="M15" s="5">
        <f t="shared" si="1"/>
        <v>2.3733962622399435E-2</v>
      </c>
      <c r="N15" s="9"/>
    </row>
    <row r="16" spans="1:14" x14ac:dyDescent="0.3">
      <c r="E16" s="9">
        <v>32967</v>
      </c>
      <c r="F16" s="32" t="s">
        <v>250</v>
      </c>
      <c r="G16" s="9" t="s">
        <v>176</v>
      </c>
      <c r="H16" s="8">
        <v>46290</v>
      </c>
      <c r="I16" s="7">
        <v>16000</v>
      </c>
      <c r="J16" s="7">
        <v>15159</v>
      </c>
      <c r="K16" s="7">
        <v>841</v>
      </c>
      <c r="L16" s="6">
        <f t="shared" si="0"/>
        <v>5.2562499999999998E-2</v>
      </c>
      <c r="M16" s="5">
        <f t="shared" si="1"/>
        <v>2.2811728646214773E-2</v>
      </c>
      <c r="N16" s="9"/>
    </row>
    <row r="17" spans="5:14" x14ac:dyDescent="0.3">
      <c r="E17" s="9">
        <v>33110</v>
      </c>
      <c r="F17" s="32" t="s">
        <v>397</v>
      </c>
      <c r="G17" s="9" t="s">
        <v>12</v>
      </c>
      <c r="H17" s="8">
        <v>46289</v>
      </c>
      <c r="I17" s="20">
        <v>20000</v>
      </c>
      <c r="J17" s="20">
        <v>19200</v>
      </c>
      <c r="K17" s="20">
        <v>800</v>
      </c>
      <c r="L17" s="6">
        <f t="shared" si="0"/>
        <v>0.04</v>
      </c>
      <c r="M17" s="5">
        <f t="shared" si="1"/>
        <v>2.1699622969050914E-2</v>
      </c>
      <c r="N17" s="9"/>
    </row>
    <row r="18" spans="5:14" x14ac:dyDescent="0.3">
      <c r="E18" s="9">
        <v>33348</v>
      </c>
      <c r="F18" s="32" t="s">
        <v>267</v>
      </c>
      <c r="G18" s="9" t="s">
        <v>2</v>
      </c>
      <c r="H18" s="8">
        <v>46290</v>
      </c>
      <c r="I18" s="20">
        <v>8000</v>
      </c>
      <c r="J18" s="20">
        <v>7242</v>
      </c>
      <c r="K18" s="20">
        <v>758</v>
      </c>
      <c r="L18" s="6">
        <f t="shared" si="0"/>
        <v>9.4750000000000001E-2</v>
      </c>
      <c r="M18" s="5">
        <f t="shared" si="1"/>
        <v>2.0560392763175738E-2</v>
      </c>
      <c r="N18" s="9"/>
    </row>
    <row r="19" spans="5:14" x14ac:dyDescent="0.3">
      <c r="E19" s="9">
        <v>33242</v>
      </c>
      <c r="F19" s="32" t="s">
        <v>321</v>
      </c>
      <c r="G19" s="9" t="s">
        <v>30</v>
      </c>
      <c r="H19" s="8">
        <v>46289</v>
      </c>
      <c r="I19" s="7">
        <v>8630</v>
      </c>
      <c r="J19" s="7">
        <v>7925</v>
      </c>
      <c r="K19" s="7">
        <v>705</v>
      </c>
      <c r="L19" s="6">
        <f t="shared" si="0"/>
        <v>8.1691772885283898E-2</v>
      </c>
      <c r="M19" s="5">
        <f t="shared" si="1"/>
        <v>1.9122792741476116E-2</v>
      </c>
      <c r="N19" s="9"/>
    </row>
    <row r="20" spans="5:14" x14ac:dyDescent="0.3">
      <c r="E20" s="9">
        <v>33261</v>
      </c>
      <c r="F20" s="32" t="s">
        <v>47</v>
      </c>
      <c r="G20" s="9" t="s">
        <v>30</v>
      </c>
      <c r="H20" s="8">
        <v>46290</v>
      </c>
      <c r="I20" s="20">
        <v>7200</v>
      </c>
      <c r="J20" s="20">
        <v>6510</v>
      </c>
      <c r="K20" s="20">
        <v>690</v>
      </c>
      <c r="L20" s="6">
        <f t="shared" si="0"/>
        <v>9.583333333333334E-2</v>
      </c>
      <c r="M20" s="5">
        <f t="shared" si="1"/>
        <v>1.8715924810806413E-2</v>
      </c>
      <c r="N20" s="9"/>
    </row>
    <row r="21" spans="5:14" x14ac:dyDescent="0.3">
      <c r="E21" s="9">
        <v>33339</v>
      </c>
      <c r="F21" s="32" t="s">
        <v>396</v>
      </c>
      <c r="G21" s="9" t="s">
        <v>12</v>
      </c>
      <c r="H21" s="8">
        <v>46290</v>
      </c>
      <c r="I21" s="7">
        <v>10500</v>
      </c>
      <c r="J21" s="7">
        <v>9864</v>
      </c>
      <c r="K21" s="7">
        <v>636</v>
      </c>
      <c r="L21" s="6">
        <f t="shared" si="0"/>
        <v>6.0571428571428575E-2</v>
      </c>
      <c r="M21" s="5">
        <f t="shared" si="1"/>
        <v>1.7251200260395477E-2</v>
      </c>
      <c r="N21" s="9"/>
    </row>
    <row r="22" spans="5:14" x14ac:dyDescent="0.3">
      <c r="E22" s="9">
        <v>33287</v>
      </c>
      <c r="F22" s="32" t="s">
        <v>386</v>
      </c>
      <c r="G22" s="9" t="s">
        <v>12</v>
      </c>
      <c r="H22" s="8">
        <v>46287</v>
      </c>
      <c r="I22" s="7">
        <v>8400</v>
      </c>
      <c r="J22" s="7">
        <v>7812</v>
      </c>
      <c r="K22" s="7">
        <v>588</v>
      </c>
      <c r="L22" s="6">
        <f t="shared" si="0"/>
        <v>7.0000000000000007E-2</v>
      </c>
      <c r="M22" s="5">
        <f t="shared" si="1"/>
        <v>1.5949222882252419E-2</v>
      </c>
      <c r="N22" s="9"/>
    </row>
    <row r="23" spans="5:14" x14ac:dyDescent="0.3">
      <c r="E23" s="9">
        <v>33322</v>
      </c>
      <c r="F23" s="32" t="s">
        <v>395</v>
      </c>
      <c r="G23" s="9" t="s">
        <v>12</v>
      </c>
      <c r="H23" s="8">
        <v>46288</v>
      </c>
      <c r="I23" s="7">
        <v>10500</v>
      </c>
      <c r="J23" s="7">
        <v>9919</v>
      </c>
      <c r="K23" s="7">
        <v>581</v>
      </c>
      <c r="L23" s="6">
        <f t="shared" si="0"/>
        <v>5.5333333333333332E-2</v>
      </c>
      <c r="M23" s="5">
        <f t="shared" si="1"/>
        <v>1.5759351181273227E-2</v>
      </c>
      <c r="N23" s="9"/>
    </row>
    <row r="24" spans="5:14" x14ac:dyDescent="0.3">
      <c r="E24" s="9">
        <v>33161</v>
      </c>
      <c r="F24" s="32" t="s">
        <v>394</v>
      </c>
      <c r="G24" s="9" t="s">
        <v>288</v>
      </c>
      <c r="H24" s="8">
        <v>46286</v>
      </c>
      <c r="I24" s="7">
        <v>33150</v>
      </c>
      <c r="J24" s="7">
        <v>32575</v>
      </c>
      <c r="K24" s="7">
        <v>575</v>
      </c>
      <c r="L24" s="6">
        <f t="shared" si="0"/>
        <v>1.7345399698340876E-2</v>
      </c>
      <c r="M24" s="5">
        <f t="shared" si="1"/>
        <v>1.5596604009005343E-2</v>
      </c>
      <c r="N24" s="9"/>
    </row>
    <row r="25" spans="5:14" x14ac:dyDescent="0.3">
      <c r="E25" s="9">
        <v>33301</v>
      </c>
      <c r="F25" s="32" t="s">
        <v>385</v>
      </c>
      <c r="G25" s="9" t="s">
        <v>12</v>
      </c>
      <c r="H25" s="8">
        <v>46290</v>
      </c>
      <c r="I25" s="7">
        <v>28646</v>
      </c>
      <c r="J25" s="7">
        <v>28100</v>
      </c>
      <c r="K25" s="7">
        <v>546</v>
      </c>
      <c r="L25" s="6">
        <f t="shared" si="0"/>
        <v>1.9060252740347693E-2</v>
      </c>
      <c r="M25" s="5">
        <f t="shared" si="1"/>
        <v>1.4809992676377249E-2</v>
      </c>
      <c r="N25" s="9"/>
    </row>
    <row r="26" spans="5:14" x14ac:dyDescent="0.3">
      <c r="E26" s="9">
        <v>33147</v>
      </c>
      <c r="F26" s="32" t="s">
        <v>385</v>
      </c>
      <c r="G26" s="9" t="s">
        <v>12</v>
      </c>
      <c r="H26" s="8">
        <v>46288</v>
      </c>
      <c r="I26" s="7">
        <v>28794</v>
      </c>
      <c r="J26" s="7">
        <v>28250</v>
      </c>
      <c r="K26" s="7">
        <v>544</v>
      </c>
      <c r="L26" s="6">
        <f t="shared" si="0"/>
        <v>1.8892824894075153E-2</v>
      </c>
      <c r="M26" s="5">
        <f t="shared" si="1"/>
        <v>1.475574361895462E-2</v>
      </c>
      <c r="N26" s="9"/>
    </row>
    <row r="27" spans="5:14" x14ac:dyDescent="0.3">
      <c r="E27" s="9">
        <v>33024</v>
      </c>
      <c r="F27" s="32" t="s">
        <v>360</v>
      </c>
      <c r="G27" s="9" t="s">
        <v>79</v>
      </c>
      <c r="H27" s="8">
        <v>46286</v>
      </c>
      <c r="I27" s="7">
        <v>8750</v>
      </c>
      <c r="J27" s="7">
        <v>8240</v>
      </c>
      <c r="K27" s="7">
        <v>510</v>
      </c>
      <c r="L27" s="6">
        <f t="shared" si="0"/>
        <v>5.8285714285714288E-2</v>
      </c>
      <c r="M27" s="5">
        <f t="shared" si="1"/>
        <v>1.3833509642769956E-2</v>
      </c>
      <c r="N27" s="9"/>
    </row>
    <row r="28" spans="5:14" x14ac:dyDescent="0.3">
      <c r="E28" s="9">
        <v>33263</v>
      </c>
      <c r="F28" s="32" t="s">
        <v>40</v>
      </c>
      <c r="G28" s="9" t="s">
        <v>30</v>
      </c>
      <c r="H28" s="8">
        <v>46290</v>
      </c>
      <c r="I28" s="7">
        <v>7200</v>
      </c>
      <c r="J28" s="7">
        <v>6694</v>
      </c>
      <c r="K28" s="7">
        <v>506</v>
      </c>
      <c r="L28" s="6">
        <f t="shared" si="0"/>
        <v>7.0277777777777772E-2</v>
      </c>
      <c r="M28" s="5">
        <f t="shared" si="1"/>
        <v>1.3725011527924703E-2</v>
      </c>
      <c r="N28" s="9"/>
    </row>
    <row r="29" spans="5:14" x14ac:dyDescent="0.3">
      <c r="E29" s="9">
        <v>33280</v>
      </c>
      <c r="F29" s="32" t="s">
        <v>393</v>
      </c>
      <c r="G29" s="9" t="s">
        <v>12</v>
      </c>
      <c r="H29" s="8">
        <v>46288</v>
      </c>
      <c r="I29" s="7">
        <v>8400</v>
      </c>
      <c r="J29" s="7">
        <v>7896</v>
      </c>
      <c r="K29" s="7">
        <v>504</v>
      </c>
      <c r="L29" s="6">
        <f t="shared" si="0"/>
        <v>0.06</v>
      </c>
      <c r="M29" s="5">
        <f t="shared" si="1"/>
        <v>1.3670762470502074E-2</v>
      </c>
      <c r="N29" s="9"/>
    </row>
    <row r="30" spans="5:14" x14ac:dyDescent="0.3">
      <c r="E30" s="9">
        <v>33299</v>
      </c>
      <c r="F30" s="32" t="s">
        <v>392</v>
      </c>
      <c r="G30" s="9" t="s">
        <v>12</v>
      </c>
      <c r="H30" s="8">
        <v>46290</v>
      </c>
      <c r="I30" s="7">
        <v>4200</v>
      </c>
      <c r="J30" s="7">
        <v>3777</v>
      </c>
      <c r="K30" s="7">
        <v>423</v>
      </c>
      <c r="L30" s="6">
        <f t="shared" si="0"/>
        <v>0.10071428571428571</v>
      </c>
      <c r="M30" s="5">
        <f t="shared" si="1"/>
        <v>1.147367564488567E-2</v>
      </c>
      <c r="N30" s="9"/>
    </row>
    <row r="31" spans="5:14" x14ac:dyDescent="0.3">
      <c r="E31" s="9">
        <v>33282</v>
      </c>
      <c r="F31" s="32" t="s">
        <v>359</v>
      </c>
      <c r="G31" s="9" t="s">
        <v>12</v>
      </c>
      <c r="H31" s="8">
        <v>46288</v>
      </c>
      <c r="I31" s="20">
        <v>8400</v>
      </c>
      <c r="J31" s="20">
        <v>8009</v>
      </c>
      <c r="K31" s="20">
        <v>391</v>
      </c>
      <c r="L31" s="6">
        <f t="shared" si="0"/>
        <v>4.6547619047619046E-2</v>
      </c>
      <c r="M31" s="5">
        <f t="shared" si="1"/>
        <v>1.0605690726123634E-2</v>
      </c>
      <c r="N31" s="9"/>
    </row>
    <row r="32" spans="5:14" x14ac:dyDescent="0.3">
      <c r="E32" s="9">
        <v>33237</v>
      </c>
      <c r="F32" s="32" t="s">
        <v>391</v>
      </c>
      <c r="G32" s="9" t="s">
        <v>2</v>
      </c>
      <c r="H32" s="8">
        <v>46287</v>
      </c>
      <c r="I32" s="7">
        <v>3800</v>
      </c>
      <c r="J32" s="7">
        <v>3413</v>
      </c>
      <c r="K32" s="7">
        <v>387</v>
      </c>
      <c r="L32" s="6">
        <f t="shared" si="0"/>
        <v>0.1018421052631579</v>
      </c>
      <c r="M32" s="5">
        <f t="shared" si="1"/>
        <v>1.0497192611278379E-2</v>
      </c>
      <c r="N32" s="9"/>
    </row>
    <row r="33" spans="5:14" x14ac:dyDescent="0.3">
      <c r="E33" s="9">
        <v>33275</v>
      </c>
      <c r="F33" s="32" t="s">
        <v>62</v>
      </c>
      <c r="G33" s="9" t="s">
        <v>61</v>
      </c>
      <c r="H33" s="8">
        <v>46290</v>
      </c>
      <c r="I33" s="20">
        <v>8600</v>
      </c>
      <c r="J33" s="20">
        <v>8222</v>
      </c>
      <c r="K33" s="20">
        <v>378</v>
      </c>
      <c r="L33" s="6">
        <f t="shared" si="0"/>
        <v>4.3953488372093022E-2</v>
      </c>
      <c r="M33" s="5">
        <f t="shared" si="1"/>
        <v>1.0253071852876557E-2</v>
      </c>
      <c r="N33" s="9"/>
    </row>
    <row r="34" spans="5:14" x14ac:dyDescent="0.3">
      <c r="E34" s="9">
        <v>33297</v>
      </c>
      <c r="F34" s="32" t="s">
        <v>390</v>
      </c>
      <c r="G34" s="9" t="s">
        <v>389</v>
      </c>
      <c r="H34" s="8">
        <v>46288</v>
      </c>
      <c r="I34" s="20">
        <v>6300</v>
      </c>
      <c r="J34" s="20">
        <v>5929</v>
      </c>
      <c r="K34" s="20">
        <v>371</v>
      </c>
      <c r="L34" s="6">
        <f t="shared" ref="L34:L65" si="2">K34/I34</f>
        <v>5.8888888888888886E-2</v>
      </c>
      <c r="M34" s="5">
        <f t="shared" ref="M34:M65" si="3">K34/$B$8</f>
        <v>1.0063200151897361E-2</v>
      </c>
      <c r="N34" s="9"/>
    </row>
    <row r="35" spans="5:14" x14ac:dyDescent="0.3">
      <c r="E35" s="9">
        <v>33104</v>
      </c>
      <c r="F35" s="32" t="s">
        <v>388</v>
      </c>
      <c r="G35" s="9" t="s">
        <v>7</v>
      </c>
      <c r="H35" s="8">
        <v>46289</v>
      </c>
      <c r="I35" s="7">
        <v>12600</v>
      </c>
      <c r="J35" s="7">
        <v>12250</v>
      </c>
      <c r="K35" s="7">
        <v>350</v>
      </c>
      <c r="L35" s="6">
        <f t="shared" si="2"/>
        <v>2.7777777777777776E-2</v>
      </c>
      <c r="M35" s="5">
        <f t="shared" si="3"/>
        <v>9.4935850489597743E-3</v>
      </c>
      <c r="N35" s="9"/>
    </row>
    <row r="36" spans="5:14" x14ac:dyDescent="0.3">
      <c r="E36" s="9">
        <v>33274</v>
      </c>
      <c r="F36" s="32" t="s">
        <v>62</v>
      </c>
      <c r="G36" s="9" t="s">
        <v>61</v>
      </c>
      <c r="H36" s="8">
        <v>46290</v>
      </c>
      <c r="I36" s="7">
        <v>8630</v>
      </c>
      <c r="J36" s="7">
        <v>8282</v>
      </c>
      <c r="K36" s="7">
        <v>348</v>
      </c>
      <c r="L36" s="6">
        <f t="shared" si="2"/>
        <v>4.0324449594438004E-2</v>
      </c>
      <c r="M36" s="5">
        <f t="shared" si="3"/>
        <v>9.4393359915371476E-3</v>
      </c>
      <c r="N36" s="9"/>
    </row>
    <row r="37" spans="5:14" x14ac:dyDescent="0.3">
      <c r="E37" s="9">
        <v>33276</v>
      </c>
      <c r="F37" s="32" t="s">
        <v>62</v>
      </c>
      <c r="G37" s="9" t="s">
        <v>61</v>
      </c>
      <c r="H37" s="8">
        <v>46290</v>
      </c>
      <c r="I37" s="7">
        <v>8650</v>
      </c>
      <c r="J37" s="7">
        <v>8311</v>
      </c>
      <c r="K37" s="7">
        <v>339</v>
      </c>
      <c r="L37" s="6">
        <f t="shared" si="2"/>
        <v>3.9190751445086706E-2</v>
      </c>
      <c r="M37" s="5">
        <f t="shared" si="3"/>
        <v>9.1952152331353249E-3</v>
      </c>
      <c r="N37" s="9"/>
    </row>
    <row r="38" spans="5:14" x14ac:dyDescent="0.3">
      <c r="E38" s="9">
        <v>33277</v>
      </c>
      <c r="F38" s="32" t="s">
        <v>383</v>
      </c>
      <c r="G38" s="9" t="s">
        <v>12</v>
      </c>
      <c r="H38" s="8">
        <v>46287</v>
      </c>
      <c r="I38" s="7">
        <v>8400</v>
      </c>
      <c r="J38" s="7">
        <v>8089</v>
      </c>
      <c r="K38" s="7">
        <v>311</v>
      </c>
      <c r="L38" s="6">
        <f t="shared" si="2"/>
        <v>3.7023809523809521E-2</v>
      </c>
      <c r="M38" s="5">
        <f t="shared" si="3"/>
        <v>8.4357284292185426E-3</v>
      </c>
      <c r="N38" s="9"/>
    </row>
    <row r="39" spans="5:14" x14ac:dyDescent="0.3">
      <c r="E39" s="9">
        <v>33250</v>
      </c>
      <c r="F39" s="32" t="s">
        <v>349</v>
      </c>
      <c r="G39" s="9" t="s">
        <v>286</v>
      </c>
      <c r="H39" s="8">
        <v>46288</v>
      </c>
      <c r="I39" s="20">
        <v>3500</v>
      </c>
      <c r="J39" s="20">
        <v>3193</v>
      </c>
      <c r="K39" s="20">
        <v>307</v>
      </c>
      <c r="L39" s="6">
        <f t="shared" si="2"/>
        <v>8.7714285714285717E-2</v>
      </c>
      <c r="M39" s="5">
        <f t="shared" si="3"/>
        <v>8.3272303143732875E-3</v>
      </c>
      <c r="N39" s="9"/>
    </row>
    <row r="40" spans="5:14" x14ac:dyDescent="0.3">
      <c r="E40" s="9">
        <v>33288</v>
      </c>
      <c r="F40" s="32" t="s">
        <v>386</v>
      </c>
      <c r="G40" s="9" t="s">
        <v>12</v>
      </c>
      <c r="H40" s="8">
        <v>46288</v>
      </c>
      <c r="I40" s="7">
        <v>8400</v>
      </c>
      <c r="J40" s="7">
        <v>8093</v>
      </c>
      <c r="K40" s="7">
        <v>307</v>
      </c>
      <c r="L40" s="6">
        <f t="shared" si="2"/>
        <v>3.6547619047619051E-2</v>
      </c>
      <c r="M40" s="5">
        <f t="shared" si="3"/>
        <v>8.3272303143732875E-3</v>
      </c>
      <c r="N40" s="9"/>
    </row>
    <row r="41" spans="5:14" x14ac:dyDescent="0.3">
      <c r="E41" s="9">
        <v>33103</v>
      </c>
      <c r="F41" s="32" t="s">
        <v>387</v>
      </c>
      <c r="G41" s="9" t="s">
        <v>7</v>
      </c>
      <c r="H41" s="8">
        <v>46289</v>
      </c>
      <c r="I41" s="7">
        <v>12600</v>
      </c>
      <c r="J41" s="7">
        <v>12300</v>
      </c>
      <c r="K41" s="7">
        <v>300</v>
      </c>
      <c r="L41" s="6">
        <f t="shared" si="2"/>
        <v>2.3809523809523808E-2</v>
      </c>
      <c r="M41" s="5">
        <f t="shared" si="3"/>
        <v>8.1373586133940915E-3</v>
      </c>
      <c r="N41" s="9"/>
    </row>
    <row r="42" spans="5:14" x14ac:dyDescent="0.3">
      <c r="E42" s="9">
        <v>33268</v>
      </c>
      <c r="F42" s="9" t="s">
        <v>380</v>
      </c>
      <c r="G42" s="9" t="s">
        <v>30</v>
      </c>
      <c r="H42" s="8">
        <v>46288</v>
      </c>
      <c r="I42" s="20">
        <v>7600</v>
      </c>
      <c r="J42" s="20">
        <v>7310</v>
      </c>
      <c r="K42" s="20">
        <v>290</v>
      </c>
      <c r="L42" s="6">
        <f t="shared" si="2"/>
        <v>3.8157894736842106E-2</v>
      </c>
      <c r="M42" s="5">
        <f t="shared" si="3"/>
        <v>7.8661133262809563E-3</v>
      </c>
      <c r="N42" s="9"/>
    </row>
    <row r="43" spans="5:14" x14ac:dyDescent="0.3">
      <c r="E43" s="9">
        <v>33258</v>
      </c>
      <c r="F43" s="9" t="s">
        <v>47</v>
      </c>
      <c r="G43" s="9" t="s">
        <v>30</v>
      </c>
      <c r="H43" s="8">
        <v>46289</v>
      </c>
      <c r="I43" s="7">
        <v>9000</v>
      </c>
      <c r="J43" s="7">
        <v>8712</v>
      </c>
      <c r="K43" s="7">
        <v>288</v>
      </c>
      <c r="L43" s="6">
        <f t="shared" si="2"/>
        <v>3.2000000000000001E-2</v>
      </c>
      <c r="M43" s="5">
        <f t="shared" si="3"/>
        <v>7.8118642688583288E-3</v>
      </c>
      <c r="N43" s="9"/>
    </row>
    <row r="44" spans="5:14" x14ac:dyDescent="0.3">
      <c r="E44" s="9">
        <v>33026</v>
      </c>
      <c r="F44" s="9" t="s">
        <v>360</v>
      </c>
      <c r="G44" s="9" t="s">
        <v>79</v>
      </c>
      <c r="H44" s="8">
        <v>46286</v>
      </c>
      <c r="I44" s="20">
        <v>8750</v>
      </c>
      <c r="J44" s="20">
        <v>8474</v>
      </c>
      <c r="K44" s="20">
        <v>276</v>
      </c>
      <c r="L44" s="6">
        <f t="shared" si="2"/>
        <v>3.1542857142857143E-2</v>
      </c>
      <c r="M44" s="5">
        <f t="shared" si="3"/>
        <v>7.4863699243225652E-3</v>
      </c>
      <c r="N44" s="9"/>
    </row>
    <row r="45" spans="5:14" x14ac:dyDescent="0.3">
      <c r="E45" s="9">
        <v>33286</v>
      </c>
      <c r="F45" s="9" t="s">
        <v>386</v>
      </c>
      <c r="G45" s="9" t="s">
        <v>12</v>
      </c>
      <c r="H45" s="8">
        <v>46287</v>
      </c>
      <c r="I45" s="7">
        <v>8400</v>
      </c>
      <c r="J45" s="7">
        <v>8143</v>
      </c>
      <c r="K45" s="7">
        <v>257</v>
      </c>
      <c r="L45" s="6">
        <f t="shared" si="2"/>
        <v>3.0595238095238095E-2</v>
      </c>
      <c r="M45" s="5">
        <f t="shared" si="3"/>
        <v>6.9710038788076056E-3</v>
      </c>
      <c r="N45" s="9"/>
    </row>
    <row r="46" spans="5:14" x14ac:dyDescent="0.3">
      <c r="E46" s="9">
        <v>33243</v>
      </c>
      <c r="F46" s="9" t="s">
        <v>321</v>
      </c>
      <c r="G46" s="9" t="s">
        <v>30</v>
      </c>
      <c r="H46" s="8">
        <v>46289</v>
      </c>
      <c r="I46" s="7">
        <v>5400</v>
      </c>
      <c r="J46" s="7">
        <v>5146</v>
      </c>
      <c r="K46" s="7">
        <v>254</v>
      </c>
      <c r="L46" s="6">
        <f t="shared" si="2"/>
        <v>4.7037037037037037E-2</v>
      </c>
      <c r="M46" s="5">
        <f t="shared" si="3"/>
        <v>6.8896302926736647E-3</v>
      </c>
      <c r="N46" s="9"/>
    </row>
    <row r="47" spans="5:14" x14ac:dyDescent="0.3">
      <c r="E47" s="9">
        <v>33204</v>
      </c>
      <c r="F47" s="9" t="s">
        <v>385</v>
      </c>
      <c r="G47" s="9" t="s">
        <v>12</v>
      </c>
      <c r="H47" s="8">
        <v>46286</v>
      </c>
      <c r="I47" s="7">
        <v>30553</v>
      </c>
      <c r="J47" s="7">
        <v>30300</v>
      </c>
      <c r="K47" s="7">
        <v>253</v>
      </c>
      <c r="L47" s="6">
        <f t="shared" si="2"/>
        <v>8.2806925670146966E-3</v>
      </c>
      <c r="M47" s="5">
        <f t="shared" si="3"/>
        <v>6.8625057639623514E-3</v>
      </c>
      <c r="N47" s="9"/>
    </row>
    <row r="48" spans="5:14" x14ac:dyDescent="0.3">
      <c r="E48" s="9">
        <v>33273</v>
      </c>
      <c r="F48" s="9" t="s">
        <v>62</v>
      </c>
      <c r="G48" s="9" t="s">
        <v>61</v>
      </c>
      <c r="H48" s="8">
        <v>46289</v>
      </c>
      <c r="I48" s="7">
        <v>10740</v>
      </c>
      <c r="J48" s="7">
        <v>10507</v>
      </c>
      <c r="K48" s="7">
        <v>233</v>
      </c>
      <c r="L48" s="6">
        <f t="shared" si="2"/>
        <v>2.1694599627560523E-2</v>
      </c>
      <c r="M48" s="5">
        <f t="shared" si="3"/>
        <v>6.3200151897360784E-3</v>
      </c>
      <c r="N48" s="9"/>
    </row>
    <row r="49" spans="5:14" x14ac:dyDescent="0.3">
      <c r="E49" s="9">
        <v>33300</v>
      </c>
      <c r="F49" s="9" t="s">
        <v>385</v>
      </c>
      <c r="G49" s="9" t="s">
        <v>12</v>
      </c>
      <c r="H49" s="8">
        <v>46289</v>
      </c>
      <c r="I49" s="7">
        <v>29105</v>
      </c>
      <c r="J49" s="7">
        <v>28875</v>
      </c>
      <c r="K49" s="7">
        <v>230</v>
      </c>
      <c r="L49" s="6">
        <f t="shared" si="2"/>
        <v>7.90242226421577E-3</v>
      </c>
      <c r="M49" s="5">
        <f t="shared" si="3"/>
        <v>6.2386416036021375E-3</v>
      </c>
      <c r="N49" s="9"/>
    </row>
    <row r="50" spans="5:14" x14ac:dyDescent="0.3">
      <c r="E50" s="9">
        <v>33317</v>
      </c>
      <c r="F50" s="9" t="s">
        <v>342</v>
      </c>
      <c r="G50" s="9" t="s">
        <v>377</v>
      </c>
      <c r="H50" s="8">
        <v>46288</v>
      </c>
      <c r="I50" s="7">
        <v>7200</v>
      </c>
      <c r="J50" s="7">
        <v>6999</v>
      </c>
      <c r="K50" s="7">
        <v>201</v>
      </c>
      <c r="L50" s="6">
        <f t="shared" si="2"/>
        <v>2.7916666666666666E-2</v>
      </c>
      <c r="M50" s="5">
        <f t="shared" si="3"/>
        <v>5.4520302709740419E-3</v>
      </c>
      <c r="N50" s="9"/>
    </row>
    <row r="51" spans="5:14" x14ac:dyDescent="0.3">
      <c r="E51" s="9">
        <v>33285</v>
      </c>
      <c r="F51" s="9" t="s">
        <v>384</v>
      </c>
      <c r="G51" s="9" t="s">
        <v>12</v>
      </c>
      <c r="H51" s="8">
        <v>46288</v>
      </c>
      <c r="I51" s="20">
        <v>6300</v>
      </c>
      <c r="J51" s="20">
        <v>6104</v>
      </c>
      <c r="K51" s="20">
        <v>196</v>
      </c>
      <c r="L51" s="6">
        <f t="shared" si="2"/>
        <v>3.111111111111111E-2</v>
      </c>
      <c r="M51" s="5">
        <f t="shared" si="3"/>
        <v>5.3164076274174734E-3</v>
      </c>
      <c r="N51" s="9"/>
    </row>
    <row r="52" spans="5:14" x14ac:dyDescent="0.3">
      <c r="E52" s="9">
        <v>33318</v>
      </c>
      <c r="F52" s="9" t="s">
        <v>342</v>
      </c>
      <c r="G52" s="9" t="s">
        <v>377</v>
      </c>
      <c r="H52" s="8">
        <v>46288</v>
      </c>
      <c r="I52" s="20">
        <v>7200</v>
      </c>
      <c r="J52" s="20">
        <v>7036</v>
      </c>
      <c r="K52" s="20">
        <v>164</v>
      </c>
      <c r="L52" s="6">
        <f t="shared" si="2"/>
        <v>2.2777777777777779E-2</v>
      </c>
      <c r="M52" s="5">
        <f t="shared" si="3"/>
        <v>4.4484227086554369E-3</v>
      </c>
      <c r="N52" s="9"/>
    </row>
    <row r="53" spans="5:14" x14ac:dyDescent="0.3">
      <c r="E53" s="9">
        <v>33264</v>
      </c>
      <c r="F53" s="9" t="s">
        <v>40</v>
      </c>
      <c r="G53" s="9" t="s">
        <v>30</v>
      </c>
      <c r="H53" s="8">
        <v>46290</v>
      </c>
      <c r="I53" s="20">
        <v>7200</v>
      </c>
      <c r="J53" s="20">
        <v>7058</v>
      </c>
      <c r="K53" s="20">
        <v>142</v>
      </c>
      <c r="L53" s="6">
        <f t="shared" si="2"/>
        <v>1.9722222222222221E-2</v>
      </c>
      <c r="M53" s="5">
        <f t="shared" si="3"/>
        <v>3.8516830770065368E-3</v>
      </c>
      <c r="N53" s="9"/>
    </row>
    <row r="54" spans="5:14" x14ac:dyDescent="0.3">
      <c r="E54" s="9">
        <v>33278</v>
      </c>
      <c r="F54" s="9" t="s">
        <v>383</v>
      </c>
      <c r="G54" s="9" t="s">
        <v>12</v>
      </c>
      <c r="H54" s="8">
        <v>46287</v>
      </c>
      <c r="I54" s="20">
        <v>6300</v>
      </c>
      <c r="J54" s="20">
        <v>6170</v>
      </c>
      <c r="K54" s="20">
        <v>130</v>
      </c>
      <c r="L54" s="6">
        <f t="shared" si="2"/>
        <v>2.0634920634920634E-2</v>
      </c>
      <c r="M54" s="5">
        <f t="shared" si="3"/>
        <v>3.5261887324707732E-3</v>
      </c>
      <c r="N54" s="9"/>
    </row>
    <row r="55" spans="5:14" x14ac:dyDescent="0.3">
      <c r="E55" s="9">
        <v>33023</v>
      </c>
      <c r="F55" s="9" t="s">
        <v>360</v>
      </c>
      <c r="G55" s="9" t="s">
        <v>79</v>
      </c>
      <c r="H55" s="8">
        <v>46286</v>
      </c>
      <c r="I55" s="20">
        <v>8750</v>
      </c>
      <c r="J55" s="20">
        <v>8621</v>
      </c>
      <c r="K55" s="20">
        <v>129</v>
      </c>
      <c r="L55" s="6">
        <f t="shared" si="2"/>
        <v>1.4742857142857143E-2</v>
      </c>
      <c r="M55" s="5">
        <f t="shared" si="3"/>
        <v>3.4990642037594595E-3</v>
      </c>
      <c r="N55" s="9"/>
    </row>
    <row r="56" spans="5:14" x14ac:dyDescent="0.3">
      <c r="E56" s="9">
        <v>33029</v>
      </c>
      <c r="F56" s="9" t="s">
        <v>360</v>
      </c>
      <c r="G56" s="9" t="s">
        <v>79</v>
      </c>
      <c r="H56" s="8">
        <v>46286</v>
      </c>
      <c r="I56" s="20">
        <v>8750</v>
      </c>
      <c r="J56" s="20">
        <v>8623</v>
      </c>
      <c r="K56" s="20">
        <v>127</v>
      </c>
      <c r="L56" s="6">
        <f t="shared" si="2"/>
        <v>1.4514285714285714E-2</v>
      </c>
      <c r="M56" s="5">
        <f t="shared" si="3"/>
        <v>3.4448151463368324E-3</v>
      </c>
      <c r="N56" s="9"/>
    </row>
    <row r="57" spans="5:14" x14ac:dyDescent="0.3">
      <c r="E57" s="9">
        <v>33266</v>
      </c>
      <c r="F57" s="9" t="s">
        <v>40</v>
      </c>
      <c r="G57" s="9" t="s">
        <v>30</v>
      </c>
      <c r="H57" s="8">
        <v>46290</v>
      </c>
      <c r="I57" s="20">
        <v>7200</v>
      </c>
      <c r="J57" s="20">
        <v>7086</v>
      </c>
      <c r="K57" s="20">
        <v>114</v>
      </c>
      <c r="L57" s="6">
        <f t="shared" si="2"/>
        <v>1.5833333333333335E-2</v>
      </c>
      <c r="M57" s="5">
        <f t="shared" si="3"/>
        <v>3.092196273089755E-3</v>
      </c>
      <c r="N57" s="9"/>
    </row>
    <row r="58" spans="5:14" x14ac:dyDescent="0.3">
      <c r="E58" s="9">
        <v>33295</v>
      </c>
      <c r="F58" s="9" t="s">
        <v>342</v>
      </c>
      <c r="G58" s="9" t="s">
        <v>275</v>
      </c>
      <c r="H58" s="8">
        <v>46289</v>
      </c>
      <c r="I58" s="20">
        <v>7200</v>
      </c>
      <c r="J58" s="20">
        <v>7090</v>
      </c>
      <c r="K58" s="20">
        <v>110</v>
      </c>
      <c r="L58" s="6">
        <f t="shared" si="2"/>
        <v>1.5277777777777777E-2</v>
      </c>
      <c r="M58" s="5">
        <f t="shared" si="3"/>
        <v>2.9836981582445003E-3</v>
      </c>
      <c r="N58" s="9"/>
    </row>
    <row r="59" spans="5:14" x14ac:dyDescent="0.3">
      <c r="E59" s="9">
        <v>33265</v>
      </c>
      <c r="F59" s="9" t="s">
        <v>40</v>
      </c>
      <c r="G59" s="9" t="s">
        <v>30</v>
      </c>
      <c r="H59" s="8">
        <v>46290</v>
      </c>
      <c r="I59" s="20">
        <v>7200</v>
      </c>
      <c r="J59" s="20">
        <v>7094</v>
      </c>
      <c r="K59" s="20">
        <v>106</v>
      </c>
      <c r="L59" s="6">
        <f t="shared" si="2"/>
        <v>1.4722222222222222E-2</v>
      </c>
      <c r="M59" s="5">
        <f t="shared" si="3"/>
        <v>2.8752000433992461E-3</v>
      </c>
      <c r="N59" s="9"/>
    </row>
    <row r="60" spans="5:14" x14ac:dyDescent="0.3">
      <c r="E60" s="9">
        <v>33321</v>
      </c>
      <c r="F60" s="9" t="s">
        <v>382</v>
      </c>
      <c r="G60" s="9" t="s">
        <v>12</v>
      </c>
      <c r="H60" s="8">
        <v>46287</v>
      </c>
      <c r="I60" s="20">
        <v>5207</v>
      </c>
      <c r="J60" s="20">
        <v>5125</v>
      </c>
      <c r="K60" s="20">
        <v>82</v>
      </c>
      <c r="L60" s="6">
        <f t="shared" si="2"/>
        <v>1.5748031496062992E-2</v>
      </c>
      <c r="M60" s="5">
        <f t="shared" si="3"/>
        <v>2.2242113543277185E-3</v>
      </c>
      <c r="N60" s="9"/>
    </row>
    <row r="61" spans="5:14" x14ac:dyDescent="0.3">
      <c r="E61" s="9">
        <v>33270</v>
      </c>
      <c r="F61" s="9" t="s">
        <v>381</v>
      </c>
      <c r="G61" s="9" t="s">
        <v>30</v>
      </c>
      <c r="H61" s="8">
        <v>46288</v>
      </c>
      <c r="I61" s="20">
        <v>5700</v>
      </c>
      <c r="J61" s="20">
        <v>5621</v>
      </c>
      <c r="K61" s="20">
        <v>79</v>
      </c>
      <c r="L61" s="6">
        <f t="shared" si="2"/>
        <v>1.3859649122807018E-2</v>
      </c>
      <c r="M61" s="5">
        <f t="shared" si="3"/>
        <v>2.1428377681937776E-3</v>
      </c>
      <c r="N61" s="9"/>
    </row>
    <row r="62" spans="5:14" x14ac:dyDescent="0.3">
      <c r="E62" s="9">
        <v>33294</v>
      </c>
      <c r="F62" s="9" t="s">
        <v>342</v>
      </c>
      <c r="G62" s="9" t="s">
        <v>275</v>
      </c>
      <c r="H62" s="8">
        <v>46289</v>
      </c>
      <c r="I62" s="20">
        <v>7200</v>
      </c>
      <c r="J62" s="20">
        <v>7122</v>
      </c>
      <c r="K62" s="20">
        <v>78</v>
      </c>
      <c r="L62" s="6">
        <f t="shared" si="2"/>
        <v>1.0833333333333334E-2</v>
      </c>
      <c r="M62" s="5">
        <f t="shared" si="3"/>
        <v>2.1157132394824638E-3</v>
      </c>
      <c r="N62" s="9"/>
    </row>
    <row r="63" spans="5:14" x14ac:dyDescent="0.3">
      <c r="E63" s="9">
        <v>33316</v>
      </c>
      <c r="F63" s="9" t="s">
        <v>342</v>
      </c>
      <c r="G63" s="9" t="s">
        <v>377</v>
      </c>
      <c r="H63" s="8">
        <v>46288</v>
      </c>
      <c r="I63" s="20">
        <v>7200</v>
      </c>
      <c r="J63" s="20">
        <v>7122</v>
      </c>
      <c r="K63" s="20">
        <v>78</v>
      </c>
      <c r="L63" s="6">
        <f t="shared" si="2"/>
        <v>1.0833333333333334E-2</v>
      </c>
      <c r="M63" s="5">
        <f t="shared" si="3"/>
        <v>2.1157132394824638E-3</v>
      </c>
      <c r="N63" s="9"/>
    </row>
    <row r="64" spans="5:14" x14ac:dyDescent="0.3">
      <c r="E64" s="9">
        <v>33259</v>
      </c>
      <c r="F64" s="9" t="s">
        <v>47</v>
      </c>
      <c r="G64" s="9" t="s">
        <v>30</v>
      </c>
      <c r="H64" s="8">
        <v>46289</v>
      </c>
      <c r="I64" s="20">
        <v>9000</v>
      </c>
      <c r="J64" s="20">
        <v>8925</v>
      </c>
      <c r="K64" s="20">
        <v>75</v>
      </c>
      <c r="L64" s="6">
        <f t="shared" si="2"/>
        <v>8.3333333333333332E-3</v>
      </c>
      <c r="M64" s="5">
        <f t="shared" si="3"/>
        <v>2.0343396533485229E-3</v>
      </c>
      <c r="N64" s="9"/>
    </row>
    <row r="65" spans="5:14" x14ac:dyDescent="0.3">
      <c r="E65" s="9">
        <v>33302</v>
      </c>
      <c r="F65" s="9" t="s">
        <v>306</v>
      </c>
      <c r="G65" s="9" t="s">
        <v>12</v>
      </c>
      <c r="H65" s="8">
        <v>46286</v>
      </c>
      <c r="I65" s="20">
        <v>5000</v>
      </c>
      <c r="J65" s="20">
        <v>4930</v>
      </c>
      <c r="K65" s="20">
        <v>70</v>
      </c>
      <c r="L65" s="6">
        <f t="shared" si="2"/>
        <v>1.4E-2</v>
      </c>
      <c r="M65" s="5">
        <f t="shared" si="3"/>
        <v>1.8987170097919549E-3</v>
      </c>
      <c r="N65" s="9"/>
    </row>
    <row r="66" spans="5:14" x14ac:dyDescent="0.3">
      <c r="E66" s="9">
        <v>33260</v>
      </c>
      <c r="F66" s="9" t="s">
        <v>47</v>
      </c>
      <c r="G66" s="9" t="s">
        <v>30</v>
      </c>
      <c r="H66" s="8">
        <v>46289</v>
      </c>
      <c r="I66" s="20">
        <v>7200</v>
      </c>
      <c r="J66" s="20">
        <v>7134</v>
      </c>
      <c r="K66" s="20">
        <v>66</v>
      </c>
      <c r="L66" s="6">
        <f t="shared" ref="L66:L90" si="4">K66/I66</f>
        <v>9.1666666666666667E-3</v>
      </c>
      <c r="M66" s="5">
        <f t="shared" ref="M66:M90" si="5">K66/$B$8</f>
        <v>1.7902188949467004E-3</v>
      </c>
      <c r="N66" s="9"/>
    </row>
    <row r="67" spans="5:14" x14ac:dyDescent="0.3">
      <c r="E67" s="9">
        <v>33269</v>
      </c>
      <c r="F67" s="9" t="s">
        <v>381</v>
      </c>
      <c r="G67" s="9" t="s">
        <v>30</v>
      </c>
      <c r="H67" s="8">
        <v>46288</v>
      </c>
      <c r="I67" s="20">
        <v>5700</v>
      </c>
      <c r="J67" s="20">
        <v>5638</v>
      </c>
      <c r="K67" s="20">
        <v>62</v>
      </c>
      <c r="L67" s="6">
        <f t="shared" si="4"/>
        <v>1.087719298245614E-2</v>
      </c>
      <c r="M67" s="5">
        <f t="shared" si="5"/>
        <v>1.6817207801014457E-3</v>
      </c>
      <c r="N67" s="9"/>
    </row>
    <row r="68" spans="5:14" x14ac:dyDescent="0.3">
      <c r="E68" s="9">
        <v>33255</v>
      </c>
      <c r="F68" s="9" t="s">
        <v>355</v>
      </c>
      <c r="G68" s="9" t="s">
        <v>30</v>
      </c>
      <c r="H68" s="8">
        <v>46290</v>
      </c>
      <c r="I68" s="20">
        <v>3800</v>
      </c>
      <c r="J68" s="20">
        <v>3740</v>
      </c>
      <c r="K68" s="20">
        <v>60</v>
      </c>
      <c r="L68" s="6">
        <f t="shared" si="4"/>
        <v>1.5789473684210527E-2</v>
      </c>
      <c r="M68" s="5">
        <f t="shared" si="5"/>
        <v>1.6274717226788184E-3</v>
      </c>
      <c r="N68" s="9"/>
    </row>
    <row r="69" spans="5:14" x14ac:dyDescent="0.3">
      <c r="E69" s="9">
        <v>33267</v>
      </c>
      <c r="F69" s="9" t="s">
        <v>380</v>
      </c>
      <c r="G69" s="9" t="s">
        <v>30</v>
      </c>
      <c r="H69" s="8">
        <v>46288</v>
      </c>
      <c r="I69" s="20">
        <v>7600</v>
      </c>
      <c r="J69" s="20">
        <v>7541</v>
      </c>
      <c r="K69" s="20">
        <v>59</v>
      </c>
      <c r="L69" s="6">
        <f t="shared" si="4"/>
        <v>7.7631578947368425E-3</v>
      </c>
      <c r="M69" s="5">
        <f t="shared" si="5"/>
        <v>1.6003471939675048E-3</v>
      </c>
      <c r="N69" s="9"/>
    </row>
    <row r="70" spans="5:14" x14ac:dyDescent="0.3">
      <c r="E70" s="9">
        <v>33195</v>
      </c>
      <c r="F70" s="9" t="s">
        <v>379</v>
      </c>
      <c r="G70" s="9" t="s">
        <v>126</v>
      </c>
      <c r="H70" s="8">
        <v>46289</v>
      </c>
      <c r="I70" s="20">
        <v>7700</v>
      </c>
      <c r="J70" s="20">
        <v>7645</v>
      </c>
      <c r="K70" s="20">
        <v>55</v>
      </c>
      <c r="L70" s="6">
        <f t="shared" si="4"/>
        <v>7.1428571428571426E-3</v>
      </c>
      <c r="M70" s="5">
        <f t="shared" si="5"/>
        <v>1.4918490791222502E-3</v>
      </c>
      <c r="N70" s="9"/>
    </row>
    <row r="71" spans="5:14" x14ac:dyDescent="0.3">
      <c r="E71" s="9">
        <v>33249</v>
      </c>
      <c r="F71" s="9" t="s">
        <v>378</v>
      </c>
      <c r="G71" s="9" t="s">
        <v>222</v>
      </c>
      <c r="H71" s="8">
        <v>46288</v>
      </c>
      <c r="I71" s="20">
        <v>3600</v>
      </c>
      <c r="J71" s="20">
        <v>3557</v>
      </c>
      <c r="K71" s="20">
        <v>43</v>
      </c>
      <c r="L71" s="6">
        <f t="shared" si="4"/>
        <v>1.1944444444444445E-2</v>
      </c>
      <c r="M71" s="5">
        <f t="shared" si="5"/>
        <v>1.1663547345864866E-3</v>
      </c>
      <c r="N71" s="9"/>
    </row>
    <row r="72" spans="5:14" x14ac:dyDescent="0.3">
      <c r="E72" s="9">
        <v>33098</v>
      </c>
      <c r="F72" s="9" t="s">
        <v>257</v>
      </c>
      <c r="G72" s="9" t="s">
        <v>0</v>
      </c>
      <c r="H72" s="8">
        <v>46286</v>
      </c>
      <c r="I72" s="20">
        <v>14000</v>
      </c>
      <c r="J72" s="20">
        <v>13967</v>
      </c>
      <c r="K72" s="20">
        <v>33</v>
      </c>
      <c r="L72" s="6">
        <f t="shared" si="4"/>
        <v>2.3571428571428571E-3</v>
      </c>
      <c r="M72" s="5">
        <f t="shared" si="5"/>
        <v>8.951094474733502E-4</v>
      </c>
      <c r="N72" s="9"/>
    </row>
    <row r="73" spans="5:14" x14ac:dyDescent="0.3">
      <c r="E73" s="9">
        <v>33346</v>
      </c>
      <c r="F73" s="9" t="s">
        <v>350</v>
      </c>
      <c r="G73" s="9" t="s">
        <v>2</v>
      </c>
      <c r="H73" s="8">
        <v>46289</v>
      </c>
      <c r="I73" s="20">
        <v>1600</v>
      </c>
      <c r="J73" s="20">
        <v>1580</v>
      </c>
      <c r="K73" s="20">
        <v>20</v>
      </c>
      <c r="L73" s="6">
        <f t="shared" si="4"/>
        <v>1.2500000000000001E-2</v>
      </c>
      <c r="M73" s="5">
        <f t="shared" si="5"/>
        <v>5.4249057422627283E-4</v>
      </c>
      <c r="N73" s="9"/>
    </row>
    <row r="74" spans="5:14" x14ac:dyDescent="0.3">
      <c r="E74" s="9">
        <v>33319</v>
      </c>
      <c r="F74" s="9" t="s">
        <v>342</v>
      </c>
      <c r="G74" s="9" t="s">
        <v>377</v>
      </c>
      <c r="H74" s="8">
        <v>46288</v>
      </c>
      <c r="I74" s="20">
        <v>7200</v>
      </c>
      <c r="J74" s="20">
        <v>7186</v>
      </c>
      <c r="K74" s="20">
        <v>14</v>
      </c>
      <c r="L74" s="6">
        <f t="shared" si="4"/>
        <v>1.9444444444444444E-3</v>
      </c>
      <c r="M74" s="5">
        <f t="shared" si="5"/>
        <v>3.7974340195839098E-4</v>
      </c>
      <c r="N74" s="9"/>
    </row>
    <row r="75" spans="5:14" x14ac:dyDescent="0.3">
      <c r="E75" s="9">
        <v>33028</v>
      </c>
      <c r="F75" s="9" t="s">
        <v>360</v>
      </c>
      <c r="G75" s="9" t="s">
        <v>79</v>
      </c>
      <c r="H75" s="8">
        <v>46286</v>
      </c>
      <c r="I75" s="20">
        <v>8750</v>
      </c>
      <c r="J75" s="20">
        <v>8807</v>
      </c>
      <c r="K75" s="20">
        <v>0</v>
      </c>
      <c r="L75" s="6">
        <f t="shared" si="4"/>
        <v>0</v>
      </c>
      <c r="M75" s="5">
        <f t="shared" si="5"/>
        <v>0</v>
      </c>
      <c r="N75" s="9"/>
    </row>
    <row r="76" spans="5:14" x14ac:dyDescent="0.3">
      <c r="E76" s="9">
        <v>33247</v>
      </c>
      <c r="F76" s="9" t="s">
        <v>376</v>
      </c>
      <c r="G76" s="9" t="s">
        <v>372</v>
      </c>
      <c r="H76" s="8">
        <v>46288</v>
      </c>
      <c r="I76" s="20">
        <v>10500</v>
      </c>
      <c r="J76" s="20">
        <v>10748</v>
      </c>
      <c r="K76" s="20">
        <v>0</v>
      </c>
      <c r="L76" s="6">
        <f t="shared" si="4"/>
        <v>0</v>
      </c>
      <c r="M76" s="5">
        <f t="shared" si="5"/>
        <v>0</v>
      </c>
      <c r="N76" s="9"/>
    </row>
    <row r="77" spans="5:14" x14ac:dyDescent="0.3">
      <c r="E77" s="9">
        <v>33252</v>
      </c>
      <c r="F77" s="9" t="s">
        <v>375</v>
      </c>
      <c r="G77" s="9" t="s">
        <v>372</v>
      </c>
      <c r="H77" s="8">
        <v>46288</v>
      </c>
      <c r="I77" s="20">
        <v>8000</v>
      </c>
      <c r="J77" s="20">
        <v>8000</v>
      </c>
      <c r="K77" s="20">
        <v>0</v>
      </c>
      <c r="L77" s="6">
        <f t="shared" si="4"/>
        <v>0</v>
      </c>
      <c r="M77" s="5">
        <f t="shared" si="5"/>
        <v>0</v>
      </c>
      <c r="N77" s="9"/>
    </row>
    <row r="78" spans="5:14" x14ac:dyDescent="0.3">
      <c r="E78" s="9">
        <v>33253</v>
      </c>
      <c r="F78" s="9" t="s">
        <v>373</v>
      </c>
      <c r="G78" s="9" t="s">
        <v>372</v>
      </c>
      <c r="H78" s="8">
        <v>46286</v>
      </c>
      <c r="I78" s="20">
        <v>4000</v>
      </c>
      <c r="J78" s="20">
        <v>4000</v>
      </c>
      <c r="K78" s="20">
        <v>0</v>
      </c>
      <c r="L78" s="6">
        <f t="shared" si="4"/>
        <v>0</v>
      </c>
      <c r="M78" s="5">
        <f t="shared" si="5"/>
        <v>0</v>
      </c>
      <c r="N78" s="9"/>
    </row>
    <row r="79" spans="5:14" x14ac:dyDescent="0.3">
      <c r="E79" s="9">
        <v>33254</v>
      </c>
      <c r="F79" s="9" t="s">
        <v>374</v>
      </c>
      <c r="G79" s="9" t="s">
        <v>372</v>
      </c>
      <c r="H79" s="8">
        <v>46287</v>
      </c>
      <c r="I79" s="20">
        <v>8800</v>
      </c>
      <c r="J79" s="20">
        <v>8800</v>
      </c>
      <c r="K79" s="20">
        <v>0</v>
      </c>
      <c r="L79" s="6">
        <f t="shared" si="4"/>
        <v>0</v>
      </c>
      <c r="M79" s="5">
        <f t="shared" si="5"/>
        <v>0</v>
      </c>
      <c r="N79" s="9"/>
    </row>
    <row r="80" spans="5:14" x14ac:dyDescent="0.3">
      <c r="E80" s="9">
        <v>33303</v>
      </c>
      <c r="F80" s="9" t="s">
        <v>297</v>
      </c>
      <c r="G80" s="9" t="s">
        <v>12</v>
      </c>
      <c r="H80" s="8">
        <v>46287</v>
      </c>
      <c r="I80" s="20">
        <v>5600</v>
      </c>
      <c r="J80" s="20">
        <v>5750</v>
      </c>
      <c r="K80" s="20">
        <v>0</v>
      </c>
      <c r="L80" s="6">
        <f t="shared" si="4"/>
        <v>0</v>
      </c>
      <c r="M80" s="5">
        <f t="shared" si="5"/>
        <v>0</v>
      </c>
      <c r="N80" s="9"/>
    </row>
    <row r="81" spans="5:14" x14ac:dyDescent="0.3">
      <c r="E81" s="9">
        <v>33304</v>
      </c>
      <c r="F81" s="9" t="s">
        <v>296</v>
      </c>
      <c r="G81" s="9" t="s">
        <v>12</v>
      </c>
      <c r="H81" s="8">
        <v>46286</v>
      </c>
      <c r="I81" s="20">
        <v>5600</v>
      </c>
      <c r="J81" s="20">
        <v>5839</v>
      </c>
      <c r="K81" s="20">
        <v>0</v>
      </c>
      <c r="L81" s="6">
        <f t="shared" si="4"/>
        <v>0</v>
      </c>
      <c r="M81" s="5">
        <f t="shared" si="5"/>
        <v>0</v>
      </c>
      <c r="N81" s="9"/>
    </row>
    <row r="82" spans="5:14" x14ac:dyDescent="0.3">
      <c r="E82" s="9">
        <v>33305</v>
      </c>
      <c r="F82" s="9" t="s">
        <v>294</v>
      </c>
      <c r="G82" s="9" t="s">
        <v>12</v>
      </c>
      <c r="H82" s="8">
        <v>46287</v>
      </c>
      <c r="I82" s="20">
        <v>5600</v>
      </c>
      <c r="J82" s="20">
        <v>5750</v>
      </c>
      <c r="K82" s="20">
        <v>0</v>
      </c>
      <c r="L82" s="6">
        <f t="shared" si="4"/>
        <v>0</v>
      </c>
      <c r="M82" s="5">
        <f t="shared" si="5"/>
        <v>0</v>
      </c>
      <c r="N82" s="9"/>
    </row>
    <row r="83" spans="5:14" x14ac:dyDescent="0.3">
      <c r="E83" s="9">
        <v>33307</v>
      </c>
      <c r="F83" s="9" t="s">
        <v>363</v>
      </c>
      <c r="G83" s="9" t="s">
        <v>24</v>
      </c>
      <c r="H83" s="8">
        <v>46289</v>
      </c>
      <c r="I83" s="20">
        <v>10400</v>
      </c>
      <c r="J83" s="20">
        <v>10400</v>
      </c>
      <c r="K83" s="20">
        <v>0</v>
      </c>
      <c r="L83" s="6">
        <f t="shared" si="4"/>
        <v>0</v>
      </c>
      <c r="M83" s="5">
        <f t="shared" si="5"/>
        <v>0</v>
      </c>
      <c r="N83" s="9"/>
    </row>
    <row r="84" spans="5:14" x14ac:dyDescent="0.3">
      <c r="E84" s="9">
        <v>33311</v>
      </c>
      <c r="F84" s="9" t="s">
        <v>373</v>
      </c>
      <c r="G84" s="9" t="s">
        <v>372</v>
      </c>
      <c r="H84" s="8">
        <v>46290</v>
      </c>
      <c r="I84" s="20">
        <v>8000</v>
      </c>
      <c r="J84" s="20">
        <v>8000</v>
      </c>
      <c r="K84" s="20">
        <v>0</v>
      </c>
      <c r="L84" s="6">
        <f t="shared" si="4"/>
        <v>0</v>
      </c>
      <c r="M84" s="5">
        <f t="shared" si="5"/>
        <v>0</v>
      </c>
      <c r="N84" s="9"/>
    </row>
    <row r="85" spans="5:14" x14ac:dyDescent="0.3">
      <c r="E85" s="9">
        <v>33324</v>
      </c>
      <c r="F85" s="9" t="s">
        <v>297</v>
      </c>
      <c r="G85" s="9" t="s">
        <v>12</v>
      </c>
      <c r="H85" s="8">
        <v>46287</v>
      </c>
      <c r="I85" s="20">
        <v>4200</v>
      </c>
      <c r="J85" s="20">
        <v>4315</v>
      </c>
      <c r="K85" s="20">
        <v>0</v>
      </c>
      <c r="L85" s="6">
        <f t="shared" si="4"/>
        <v>0</v>
      </c>
      <c r="M85" s="5">
        <f t="shared" si="5"/>
        <v>0</v>
      </c>
      <c r="N85" s="9"/>
    </row>
    <row r="86" spans="5:14" x14ac:dyDescent="0.3">
      <c r="E86" s="9">
        <v>33329</v>
      </c>
      <c r="F86" s="9" t="s">
        <v>374</v>
      </c>
      <c r="G86" s="9" t="s">
        <v>372</v>
      </c>
      <c r="H86" s="8">
        <v>46287</v>
      </c>
      <c r="I86" s="20">
        <v>2200</v>
      </c>
      <c r="J86" s="20">
        <v>2200</v>
      </c>
      <c r="K86" s="20">
        <v>0</v>
      </c>
      <c r="L86" s="6">
        <f t="shared" si="4"/>
        <v>0</v>
      </c>
      <c r="M86" s="5">
        <f t="shared" si="5"/>
        <v>0</v>
      </c>
      <c r="N86" s="9"/>
    </row>
    <row r="87" spans="5:14" x14ac:dyDescent="0.3">
      <c r="E87" s="9">
        <v>33344</v>
      </c>
      <c r="F87" s="9" t="s">
        <v>306</v>
      </c>
      <c r="G87" s="9" t="s">
        <v>2</v>
      </c>
      <c r="H87" s="8">
        <v>46289</v>
      </c>
      <c r="I87" s="20">
        <v>2000</v>
      </c>
      <c r="J87" s="20">
        <v>2040</v>
      </c>
      <c r="K87" s="20">
        <v>0</v>
      </c>
      <c r="L87" s="6">
        <f t="shared" si="4"/>
        <v>0</v>
      </c>
      <c r="M87" s="5">
        <f t="shared" si="5"/>
        <v>0</v>
      </c>
      <c r="N87" s="9"/>
    </row>
    <row r="88" spans="5:14" x14ac:dyDescent="0.3">
      <c r="E88" s="9">
        <v>33345</v>
      </c>
      <c r="F88" s="9" t="s">
        <v>343</v>
      </c>
      <c r="G88" s="9" t="s">
        <v>2</v>
      </c>
      <c r="H88" s="8">
        <v>46289</v>
      </c>
      <c r="I88" s="20">
        <v>1600</v>
      </c>
      <c r="J88" s="20">
        <v>1600</v>
      </c>
      <c r="K88" s="20">
        <v>0</v>
      </c>
      <c r="L88" s="6">
        <f t="shared" si="4"/>
        <v>0</v>
      </c>
      <c r="M88" s="5">
        <f t="shared" si="5"/>
        <v>0</v>
      </c>
      <c r="N88" s="9"/>
    </row>
    <row r="89" spans="5:14" x14ac:dyDescent="0.3">
      <c r="E89" s="9">
        <v>33366</v>
      </c>
      <c r="F89" s="9" t="s">
        <v>303</v>
      </c>
      <c r="G89" s="9" t="s">
        <v>2</v>
      </c>
      <c r="H89" s="8">
        <v>46290</v>
      </c>
      <c r="I89" s="20">
        <v>1400</v>
      </c>
      <c r="J89" s="20">
        <v>1412</v>
      </c>
      <c r="K89" s="20">
        <v>0</v>
      </c>
      <c r="L89" s="6">
        <f t="shared" si="4"/>
        <v>0</v>
      </c>
      <c r="M89" s="5">
        <f t="shared" si="5"/>
        <v>0</v>
      </c>
      <c r="N89" s="9"/>
    </row>
    <row r="90" spans="5:14" x14ac:dyDescent="0.3">
      <c r="E90" s="9">
        <v>33367</v>
      </c>
      <c r="F90" s="9" t="s">
        <v>373</v>
      </c>
      <c r="G90" s="9" t="s">
        <v>372</v>
      </c>
      <c r="H90" s="8">
        <v>46289</v>
      </c>
      <c r="I90" s="20">
        <v>2400</v>
      </c>
      <c r="J90" s="20">
        <v>2400</v>
      </c>
      <c r="K90" s="20">
        <v>0</v>
      </c>
      <c r="L90" s="6">
        <f t="shared" si="4"/>
        <v>0</v>
      </c>
      <c r="M90" s="5">
        <f t="shared" si="5"/>
        <v>0</v>
      </c>
      <c r="N90" s="9"/>
    </row>
  </sheetData>
  <autoFilter ref="E1:N1" xr:uid="{ED0A2852-B90F-4E5C-9DCF-FC384D5546E0}">
    <sortState xmlns:xlrd2="http://schemas.microsoft.com/office/spreadsheetml/2017/richdata2" ref="E2:N90">
      <sortCondition descending="1" ref="M1"/>
    </sortState>
  </autoFilter>
  <mergeCells count="1">
    <mergeCell ref="A1:B1"/>
  </mergeCells>
  <conditionalFormatting sqref="E2:E41">
    <cfRule type="duplicateValues" dxfId="4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CB09-BD02-4A21-B9F7-EEE1CEFF463C}">
  <sheetPr>
    <tabColor rgb="FFFF0000"/>
    <pageSetUpPr fitToPage="1"/>
  </sheetPr>
  <dimension ref="A1:N90"/>
  <sheetViews>
    <sheetView topLeftCell="F40" zoomScaleNormal="100" workbookViewId="0">
      <selection activeCell="H70" sqref="H70"/>
    </sheetView>
  </sheetViews>
  <sheetFormatPr baseColWidth="10" defaultRowHeight="14.4" x14ac:dyDescent="0.3"/>
  <cols>
    <col min="1" max="1" width="23.21875" bestFit="1" customWidth="1"/>
    <col min="2" max="3" width="10.44140625" customWidth="1"/>
    <col min="4" max="4" width="12.77734375" customWidth="1"/>
    <col min="5" max="5" width="6" bestFit="1" customWidth="1"/>
    <col min="6" max="6" width="78.33203125" bestFit="1" customWidth="1"/>
    <col min="7" max="7" width="32.109375" bestFit="1" customWidth="1"/>
    <col min="8" max="8" width="19.33203125" bestFit="1" customWidth="1"/>
    <col min="9" max="9" width="20.5546875" style="31" bestFit="1" customWidth="1"/>
    <col min="10" max="10" width="23.5546875" style="31" bestFit="1" customWidth="1"/>
    <col min="11" max="11" width="13.44140625" style="31" bestFit="1" customWidth="1"/>
    <col min="12" max="12" width="11.6640625" style="3" bestFit="1" customWidth="1"/>
    <col min="13" max="13" width="23.21875" bestFit="1" customWidth="1"/>
    <col min="14" max="14" width="31" bestFit="1" customWidth="1"/>
  </cols>
  <sheetData>
    <row r="1" spans="1:14" x14ac:dyDescent="0.3">
      <c r="A1" s="55" t="s">
        <v>119</v>
      </c>
      <c r="B1" s="55"/>
      <c r="C1" s="54"/>
      <c r="E1" s="23" t="s">
        <v>118</v>
      </c>
      <c r="F1" s="42" t="s">
        <v>117</v>
      </c>
      <c r="G1" s="23" t="s">
        <v>116</v>
      </c>
      <c r="H1" s="47" t="s">
        <v>115</v>
      </c>
      <c r="I1" s="30" t="s">
        <v>114</v>
      </c>
      <c r="J1" s="30" t="s">
        <v>113</v>
      </c>
      <c r="K1" s="30" t="s">
        <v>112</v>
      </c>
      <c r="L1" s="53" t="s">
        <v>111</v>
      </c>
      <c r="M1" s="23" t="s">
        <v>110</v>
      </c>
      <c r="N1" s="41" t="s">
        <v>270</v>
      </c>
    </row>
    <row r="2" spans="1:14" x14ac:dyDescent="0.3">
      <c r="A2" s="15" t="s">
        <v>109</v>
      </c>
      <c r="B2" s="8">
        <v>46291</v>
      </c>
      <c r="C2" s="4"/>
      <c r="E2" s="9">
        <v>32784</v>
      </c>
      <c r="F2" s="32" t="s">
        <v>293</v>
      </c>
      <c r="G2" s="9" t="s">
        <v>12</v>
      </c>
      <c r="H2" s="8">
        <v>46295</v>
      </c>
      <c r="I2" s="7">
        <v>20000</v>
      </c>
      <c r="J2" s="7">
        <v>16375</v>
      </c>
      <c r="K2" s="7">
        <v>3625</v>
      </c>
      <c r="L2" s="6">
        <f t="shared" ref="L2:L33" si="0">K2/I2</f>
        <v>0.18124999999999999</v>
      </c>
      <c r="M2" s="5">
        <f t="shared" ref="M2:M33" si="1">K2/$B$8</f>
        <v>7.2180960156109988E-2</v>
      </c>
      <c r="N2" s="9"/>
    </row>
    <row r="3" spans="1:14" x14ac:dyDescent="0.3">
      <c r="A3" s="15" t="s">
        <v>107</v>
      </c>
      <c r="B3" s="8">
        <v>46297</v>
      </c>
      <c r="C3" s="4"/>
      <c r="E3" s="9">
        <v>32465</v>
      </c>
      <c r="F3" s="32" t="s">
        <v>172</v>
      </c>
      <c r="G3" s="9" t="s">
        <v>12</v>
      </c>
      <c r="H3" s="8">
        <v>46297</v>
      </c>
      <c r="I3" s="7">
        <v>18000</v>
      </c>
      <c r="J3" s="7">
        <v>15250</v>
      </c>
      <c r="K3" s="7">
        <v>2750</v>
      </c>
      <c r="L3" s="6">
        <f t="shared" si="0"/>
        <v>0.15277777777777779</v>
      </c>
      <c r="M3" s="5">
        <f t="shared" si="1"/>
        <v>5.4757969773600687E-2</v>
      </c>
      <c r="N3" s="9"/>
    </row>
    <row r="4" spans="1:14" x14ac:dyDescent="0.3">
      <c r="E4" s="9">
        <v>33327</v>
      </c>
      <c r="F4" s="32" t="s">
        <v>444</v>
      </c>
      <c r="G4" s="9" t="s">
        <v>12</v>
      </c>
      <c r="H4" s="8">
        <v>46297</v>
      </c>
      <c r="I4" s="7">
        <v>20000</v>
      </c>
      <c r="J4" s="7">
        <v>17500</v>
      </c>
      <c r="K4" s="7">
        <v>2500</v>
      </c>
      <c r="L4" s="6">
        <f t="shared" si="0"/>
        <v>0.125</v>
      </c>
      <c r="M4" s="5">
        <f t="shared" si="1"/>
        <v>4.9779972521455169E-2</v>
      </c>
      <c r="N4" s="9"/>
    </row>
    <row r="5" spans="1:14" x14ac:dyDescent="0.3">
      <c r="A5" s="15" t="s">
        <v>105</v>
      </c>
      <c r="B5" s="9">
        <f>SUBTOTAL(3,E2:E1048576)</f>
        <v>85</v>
      </c>
      <c r="E5" s="9">
        <v>32971</v>
      </c>
      <c r="F5" s="32" t="s">
        <v>250</v>
      </c>
      <c r="G5" s="9" t="s">
        <v>176</v>
      </c>
      <c r="H5" s="8">
        <v>46294</v>
      </c>
      <c r="I5" s="7">
        <v>16000</v>
      </c>
      <c r="J5" s="7">
        <v>13788</v>
      </c>
      <c r="K5" s="7">
        <v>2212</v>
      </c>
      <c r="L5" s="6">
        <f t="shared" si="0"/>
        <v>0.13825000000000001</v>
      </c>
      <c r="M5" s="5">
        <f t="shared" si="1"/>
        <v>4.4045319686983532E-2</v>
      </c>
      <c r="N5" s="9"/>
    </row>
    <row r="6" spans="1:14" x14ac:dyDescent="0.3">
      <c r="A6" s="15" t="s">
        <v>103</v>
      </c>
      <c r="B6" s="20">
        <f>SUBTOTAL(9,I:I)</f>
        <v>765000</v>
      </c>
      <c r="C6" s="28"/>
      <c r="E6" s="9">
        <v>32471</v>
      </c>
      <c r="F6" s="32" t="s">
        <v>97</v>
      </c>
      <c r="G6" s="9" t="s">
        <v>12</v>
      </c>
      <c r="H6" s="8">
        <v>46293</v>
      </c>
      <c r="I6" s="7">
        <v>21700</v>
      </c>
      <c r="J6" s="7">
        <v>19525</v>
      </c>
      <c r="K6" s="7">
        <v>2175</v>
      </c>
      <c r="L6" s="6">
        <f t="shared" si="0"/>
        <v>0.10023041474654378</v>
      </c>
      <c r="M6" s="5">
        <f t="shared" si="1"/>
        <v>4.3308576093665993E-2</v>
      </c>
      <c r="N6" s="9"/>
    </row>
    <row r="7" spans="1:14" x14ac:dyDescent="0.3">
      <c r="A7" s="15" t="s">
        <v>101</v>
      </c>
      <c r="B7" s="20">
        <f>SUBTOTAL(9,J:J)</f>
        <v>715092</v>
      </c>
      <c r="C7" s="28"/>
      <c r="E7" s="9">
        <v>33371</v>
      </c>
      <c r="F7" s="32" t="s">
        <v>441</v>
      </c>
      <c r="G7" s="9" t="s">
        <v>308</v>
      </c>
      <c r="H7" s="8">
        <v>46295</v>
      </c>
      <c r="I7" s="7">
        <v>10500</v>
      </c>
      <c r="J7" s="7">
        <v>8363</v>
      </c>
      <c r="K7" s="7">
        <v>2137</v>
      </c>
      <c r="L7" s="6">
        <f t="shared" si="0"/>
        <v>0.20352380952380952</v>
      </c>
      <c r="M7" s="5">
        <f t="shared" si="1"/>
        <v>4.255192051133988E-2</v>
      </c>
      <c r="N7" s="9"/>
    </row>
    <row r="8" spans="1:14" x14ac:dyDescent="0.3">
      <c r="A8" s="15" t="s">
        <v>99</v>
      </c>
      <c r="B8" s="20">
        <f>SUBTOTAL(9,K:K)</f>
        <v>50221</v>
      </c>
      <c r="C8" s="28"/>
      <c r="E8" s="9">
        <v>32565</v>
      </c>
      <c r="F8" s="32" t="s">
        <v>172</v>
      </c>
      <c r="G8" s="9" t="s">
        <v>12</v>
      </c>
      <c r="H8" s="8">
        <v>46297</v>
      </c>
      <c r="I8" s="7">
        <v>16000</v>
      </c>
      <c r="J8" s="7">
        <v>14050</v>
      </c>
      <c r="K8" s="7">
        <v>1950</v>
      </c>
      <c r="L8" s="6">
        <f t="shared" si="0"/>
        <v>0.121875</v>
      </c>
      <c r="M8" s="5">
        <f t="shared" si="1"/>
        <v>3.8828378566735031E-2</v>
      </c>
      <c r="N8" s="9"/>
    </row>
    <row r="9" spans="1:14" x14ac:dyDescent="0.3">
      <c r="A9" s="15" t="s">
        <v>98</v>
      </c>
      <c r="B9" s="18">
        <f>B8/B6</f>
        <v>6.564836601307189E-2</v>
      </c>
      <c r="C9" s="52"/>
      <c r="E9" s="9">
        <v>32567</v>
      </c>
      <c r="F9" s="32" t="s">
        <v>293</v>
      </c>
      <c r="G9" s="9" t="s">
        <v>12</v>
      </c>
      <c r="H9" s="8">
        <v>46295</v>
      </c>
      <c r="I9" s="7">
        <v>20000</v>
      </c>
      <c r="J9" s="7">
        <v>18050</v>
      </c>
      <c r="K9" s="7">
        <v>1950</v>
      </c>
      <c r="L9" s="6">
        <f t="shared" si="0"/>
        <v>9.7500000000000003E-2</v>
      </c>
      <c r="M9" s="5">
        <f t="shared" si="1"/>
        <v>3.8828378566735031E-2</v>
      </c>
      <c r="N9" s="9"/>
    </row>
    <row r="10" spans="1:14" x14ac:dyDescent="0.3">
      <c r="A10" s="15" t="s">
        <v>96</v>
      </c>
      <c r="B10" s="9">
        <f>COUNTIF(L:L,"&gt;=5%")</f>
        <v>34</v>
      </c>
      <c r="E10" s="9">
        <v>32964</v>
      </c>
      <c r="F10" s="32" t="s">
        <v>250</v>
      </c>
      <c r="G10" s="9" t="s">
        <v>176</v>
      </c>
      <c r="H10" s="8">
        <v>46296</v>
      </c>
      <c r="I10" s="7">
        <v>16000</v>
      </c>
      <c r="J10" s="7">
        <v>14149</v>
      </c>
      <c r="K10" s="7">
        <v>1851</v>
      </c>
      <c r="L10" s="6">
        <f t="shared" si="0"/>
        <v>0.1156875</v>
      </c>
      <c r="M10" s="5">
        <f t="shared" si="1"/>
        <v>3.6857091654885404E-2</v>
      </c>
      <c r="N10" s="9"/>
    </row>
    <row r="11" spans="1:14" x14ac:dyDescent="0.3">
      <c r="A11" s="15" t="s">
        <v>95</v>
      </c>
      <c r="B11" s="48">
        <f>B10/B5</f>
        <v>0.4</v>
      </c>
      <c r="C11" s="51"/>
      <c r="E11" s="9">
        <v>33330</v>
      </c>
      <c r="F11" s="32" t="s">
        <v>449</v>
      </c>
      <c r="G11" s="9" t="s">
        <v>448</v>
      </c>
      <c r="H11" s="8">
        <v>46295</v>
      </c>
      <c r="I11" s="7">
        <v>12000</v>
      </c>
      <c r="J11" s="7">
        <v>10300</v>
      </c>
      <c r="K11" s="7">
        <v>1700</v>
      </c>
      <c r="L11" s="6">
        <f t="shared" si="0"/>
        <v>0.14166666666666666</v>
      </c>
      <c r="M11" s="5">
        <f t="shared" si="1"/>
        <v>3.3850381314589513E-2</v>
      </c>
      <c r="N11" s="9"/>
    </row>
    <row r="12" spans="1:14" x14ac:dyDescent="0.3">
      <c r="E12" s="9">
        <v>32785</v>
      </c>
      <c r="F12" s="32" t="s">
        <v>293</v>
      </c>
      <c r="G12" s="9" t="s">
        <v>12</v>
      </c>
      <c r="H12" s="8">
        <v>46297</v>
      </c>
      <c r="I12" s="7">
        <v>20000</v>
      </c>
      <c r="J12" s="7">
        <v>18325</v>
      </c>
      <c r="K12" s="7">
        <v>1675</v>
      </c>
      <c r="L12" s="6">
        <f t="shared" si="0"/>
        <v>8.3750000000000005E-2</v>
      </c>
      <c r="M12" s="5">
        <f t="shared" si="1"/>
        <v>3.3352581589374965E-2</v>
      </c>
      <c r="N12" s="9"/>
    </row>
    <row r="13" spans="1:14" x14ac:dyDescent="0.3">
      <c r="E13" s="9">
        <v>33326</v>
      </c>
      <c r="F13" s="32" t="s">
        <v>444</v>
      </c>
      <c r="G13" s="9" t="s">
        <v>12</v>
      </c>
      <c r="H13" s="8">
        <v>46297</v>
      </c>
      <c r="I13" s="7">
        <v>20000</v>
      </c>
      <c r="J13" s="7">
        <v>18400</v>
      </c>
      <c r="K13" s="7">
        <v>1600</v>
      </c>
      <c r="L13" s="6">
        <f t="shared" si="0"/>
        <v>0.08</v>
      </c>
      <c r="M13" s="5">
        <f t="shared" si="1"/>
        <v>3.1859182413731306E-2</v>
      </c>
      <c r="N13" s="9"/>
    </row>
    <row r="14" spans="1:14" x14ac:dyDescent="0.3">
      <c r="A14" s="26" t="s">
        <v>398</v>
      </c>
      <c r="B14" s="27">
        <f>B8-'[1]28-09'!B8</f>
        <v>13354</v>
      </c>
      <c r="C14" s="50"/>
      <c r="E14" s="9">
        <v>33352</v>
      </c>
      <c r="F14" s="32" t="s">
        <v>396</v>
      </c>
      <c r="G14" s="9" t="s">
        <v>12</v>
      </c>
      <c r="H14" s="8">
        <v>46293</v>
      </c>
      <c r="I14" s="7">
        <v>8400</v>
      </c>
      <c r="J14" s="7">
        <v>6922</v>
      </c>
      <c r="K14" s="7">
        <v>1478</v>
      </c>
      <c r="L14" s="6">
        <f t="shared" si="0"/>
        <v>0.17595238095238094</v>
      </c>
      <c r="M14" s="5">
        <f t="shared" si="1"/>
        <v>2.9429919754684297E-2</v>
      </c>
      <c r="N14" s="9"/>
    </row>
    <row r="15" spans="1:14" x14ac:dyDescent="0.3">
      <c r="A15" s="26" t="s">
        <v>398</v>
      </c>
      <c r="B15" s="25">
        <f>B9-'[1]28-09'!B9</f>
        <v>2.3148178683469779E-2</v>
      </c>
      <c r="C15" s="49"/>
      <c r="E15" s="9">
        <v>32972</v>
      </c>
      <c r="F15" s="32" t="s">
        <v>250</v>
      </c>
      <c r="G15" s="9" t="s">
        <v>176</v>
      </c>
      <c r="H15" s="8">
        <v>46294</v>
      </c>
      <c r="I15" s="7">
        <v>16000</v>
      </c>
      <c r="J15" s="7">
        <v>14590</v>
      </c>
      <c r="K15" s="7">
        <v>1410</v>
      </c>
      <c r="L15" s="6">
        <f t="shared" si="0"/>
        <v>8.8124999999999995E-2</v>
      </c>
      <c r="M15" s="5">
        <f t="shared" si="1"/>
        <v>2.8075904502100714E-2</v>
      </c>
      <c r="N15" s="9"/>
    </row>
    <row r="16" spans="1:14" x14ac:dyDescent="0.3">
      <c r="E16" s="9">
        <v>33116</v>
      </c>
      <c r="F16" s="32" t="s">
        <v>447</v>
      </c>
      <c r="G16" s="9" t="s">
        <v>12</v>
      </c>
      <c r="H16" s="8">
        <v>46293</v>
      </c>
      <c r="I16" s="7">
        <v>18000</v>
      </c>
      <c r="J16" s="7">
        <v>16675</v>
      </c>
      <c r="K16" s="7">
        <v>1325</v>
      </c>
      <c r="L16" s="6">
        <f t="shared" si="0"/>
        <v>7.3611111111111113E-2</v>
      </c>
      <c r="M16" s="5">
        <f t="shared" si="1"/>
        <v>2.638338543637124E-2</v>
      </c>
      <c r="N16" s="9"/>
    </row>
    <row r="17" spans="5:14" x14ac:dyDescent="0.3">
      <c r="E17" s="9">
        <v>33331</v>
      </c>
      <c r="F17" s="32" t="s">
        <v>174</v>
      </c>
      <c r="G17" s="9" t="s">
        <v>71</v>
      </c>
      <c r="H17" s="8">
        <v>46295</v>
      </c>
      <c r="I17" s="7">
        <v>20000</v>
      </c>
      <c r="J17" s="7">
        <v>18750</v>
      </c>
      <c r="K17" s="7">
        <v>1250</v>
      </c>
      <c r="L17" s="6">
        <f t="shared" si="0"/>
        <v>6.25E-2</v>
      </c>
      <c r="M17" s="5">
        <f t="shared" si="1"/>
        <v>2.4889986260727585E-2</v>
      </c>
      <c r="N17" s="9"/>
    </row>
    <row r="18" spans="5:14" x14ac:dyDescent="0.3">
      <c r="E18" s="9">
        <v>33357</v>
      </c>
      <c r="F18" s="32" t="s">
        <v>446</v>
      </c>
      <c r="G18" s="9" t="s">
        <v>434</v>
      </c>
      <c r="H18" s="8">
        <v>46294</v>
      </c>
      <c r="I18" s="7">
        <v>6300</v>
      </c>
      <c r="J18" s="7">
        <v>5114</v>
      </c>
      <c r="K18" s="7">
        <v>1186</v>
      </c>
      <c r="L18" s="6">
        <f t="shared" si="0"/>
        <v>0.18825396825396826</v>
      </c>
      <c r="M18" s="5">
        <f t="shared" si="1"/>
        <v>2.3615618964178332E-2</v>
      </c>
      <c r="N18" s="9"/>
    </row>
    <row r="19" spans="5:14" x14ac:dyDescent="0.3">
      <c r="E19" s="9">
        <v>32830</v>
      </c>
      <c r="F19" s="32" t="s">
        <v>445</v>
      </c>
      <c r="G19" s="9" t="s">
        <v>180</v>
      </c>
      <c r="H19" s="8">
        <v>46296</v>
      </c>
      <c r="I19" s="7">
        <v>12000</v>
      </c>
      <c r="J19" s="7">
        <v>10975</v>
      </c>
      <c r="K19" s="7">
        <v>1025</v>
      </c>
      <c r="L19" s="6">
        <f t="shared" si="0"/>
        <v>8.5416666666666669E-2</v>
      </c>
      <c r="M19" s="5">
        <f t="shared" si="1"/>
        <v>2.0409788733796619E-2</v>
      </c>
      <c r="N19" s="9"/>
    </row>
    <row r="20" spans="5:14" x14ac:dyDescent="0.3">
      <c r="E20" s="9">
        <v>33328</v>
      </c>
      <c r="F20" s="32" t="s">
        <v>444</v>
      </c>
      <c r="G20" s="9" t="s">
        <v>12</v>
      </c>
      <c r="H20" s="8">
        <v>46297</v>
      </c>
      <c r="I20" s="7">
        <v>20000</v>
      </c>
      <c r="J20" s="7">
        <v>19000</v>
      </c>
      <c r="K20" s="7">
        <v>1000</v>
      </c>
      <c r="L20" s="6">
        <f t="shared" si="0"/>
        <v>0.05</v>
      </c>
      <c r="M20" s="5">
        <f t="shared" si="1"/>
        <v>1.9911989008582067E-2</v>
      </c>
      <c r="N20" s="9"/>
    </row>
    <row r="21" spans="5:14" x14ac:dyDescent="0.3">
      <c r="E21" s="9">
        <v>33358</v>
      </c>
      <c r="F21" s="32" t="s">
        <v>443</v>
      </c>
      <c r="G21" s="9" t="s">
        <v>434</v>
      </c>
      <c r="H21" s="8">
        <v>46294</v>
      </c>
      <c r="I21" s="7">
        <v>6300</v>
      </c>
      <c r="J21" s="7">
        <v>5314</v>
      </c>
      <c r="K21" s="7">
        <v>986</v>
      </c>
      <c r="L21" s="6">
        <f t="shared" si="0"/>
        <v>0.15650793650793651</v>
      </c>
      <c r="M21" s="5">
        <f t="shared" si="1"/>
        <v>1.9633221162461918E-2</v>
      </c>
      <c r="N21" s="9"/>
    </row>
    <row r="22" spans="5:14" x14ac:dyDescent="0.3">
      <c r="E22" s="9">
        <v>33112</v>
      </c>
      <c r="F22" s="32" t="s">
        <v>397</v>
      </c>
      <c r="G22" s="9" t="s">
        <v>12</v>
      </c>
      <c r="H22" s="8">
        <v>46293</v>
      </c>
      <c r="I22" s="7">
        <v>20000</v>
      </c>
      <c r="J22" s="7">
        <v>19050</v>
      </c>
      <c r="K22" s="7">
        <v>950</v>
      </c>
      <c r="L22" s="6">
        <f t="shared" si="0"/>
        <v>4.7500000000000001E-2</v>
      </c>
      <c r="M22" s="5">
        <f t="shared" si="1"/>
        <v>1.8916389558152964E-2</v>
      </c>
      <c r="N22" s="9"/>
    </row>
    <row r="23" spans="5:14" x14ac:dyDescent="0.3">
      <c r="E23" s="9">
        <v>33355</v>
      </c>
      <c r="F23" s="32" t="s">
        <v>442</v>
      </c>
      <c r="G23" s="9" t="s">
        <v>434</v>
      </c>
      <c r="H23" s="8">
        <v>46293</v>
      </c>
      <c r="I23" s="7">
        <v>10500</v>
      </c>
      <c r="J23" s="7">
        <v>9600</v>
      </c>
      <c r="K23" s="7">
        <v>900</v>
      </c>
      <c r="L23" s="6">
        <f t="shared" si="0"/>
        <v>8.5714285714285715E-2</v>
      </c>
      <c r="M23" s="5">
        <f t="shared" si="1"/>
        <v>1.792079010772386E-2</v>
      </c>
      <c r="N23" s="9"/>
    </row>
    <row r="24" spans="5:14" x14ac:dyDescent="0.3">
      <c r="E24" s="9">
        <v>33372</v>
      </c>
      <c r="F24" s="32" t="s">
        <v>441</v>
      </c>
      <c r="G24" s="9" t="s">
        <v>308</v>
      </c>
      <c r="H24" s="8">
        <v>46294</v>
      </c>
      <c r="I24" s="7">
        <v>8400</v>
      </c>
      <c r="J24" s="7">
        <v>7514</v>
      </c>
      <c r="K24" s="7">
        <v>886</v>
      </c>
      <c r="L24" s="6">
        <f t="shared" si="0"/>
        <v>0.10547619047619047</v>
      </c>
      <c r="M24" s="5">
        <f t="shared" si="1"/>
        <v>1.7642022261603711E-2</v>
      </c>
      <c r="N24" s="9"/>
    </row>
    <row r="25" spans="5:14" x14ac:dyDescent="0.3">
      <c r="E25" s="9">
        <v>32975</v>
      </c>
      <c r="F25" s="32" t="s">
        <v>250</v>
      </c>
      <c r="G25" s="9" t="s">
        <v>176</v>
      </c>
      <c r="H25" s="8">
        <v>46294</v>
      </c>
      <c r="I25" s="7">
        <v>16000</v>
      </c>
      <c r="J25" s="7">
        <v>15154</v>
      </c>
      <c r="K25" s="7">
        <v>846</v>
      </c>
      <c r="L25" s="6">
        <f t="shared" si="0"/>
        <v>5.2874999999999998E-2</v>
      </c>
      <c r="M25" s="5">
        <f t="shared" si="1"/>
        <v>1.684554270126043E-2</v>
      </c>
      <c r="N25" s="9"/>
    </row>
    <row r="26" spans="5:14" x14ac:dyDescent="0.3">
      <c r="E26" s="9">
        <v>33340</v>
      </c>
      <c r="F26" s="32" t="s">
        <v>440</v>
      </c>
      <c r="G26" s="9" t="s">
        <v>222</v>
      </c>
      <c r="H26" s="8">
        <v>46295</v>
      </c>
      <c r="I26" s="7">
        <v>8400</v>
      </c>
      <c r="J26" s="7">
        <v>7606</v>
      </c>
      <c r="K26" s="7">
        <v>794</v>
      </c>
      <c r="L26" s="6">
        <f t="shared" si="0"/>
        <v>9.4523809523809524E-2</v>
      </c>
      <c r="M26" s="5">
        <f t="shared" si="1"/>
        <v>1.5810119272814161E-2</v>
      </c>
      <c r="N26" s="9"/>
    </row>
    <row r="27" spans="5:14" x14ac:dyDescent="0.3">
      <c r="E27" s="9">
        <v>33248</v>
      </c>
      <c r="F27" s="32" t="s">
        <v>418</v>
      </c>
      <c r="G27" s="9" t="s">
        <v>30</v>
      </c>
      <c r="H27" s="8">
        <v>46296</v>
      </c>
      <c r="I27" s="7">
        <v>2440</v>
      </c>
      <c r="J27" s="7">
        <v>1717</v>
      </c>
      <c r="K27" s="7">
        <v>723</v>
      </c>
      <c r="L27" s="6">
        <f t="shared" si="0"/>
        <v>0.29631147540983604</v>
      </c>
      <c r="M27" s="5">
        <f t="shared" si="1"/>
        <v>1.4396368053204834E-2</v>
      </c>
      <c r="N27" s="9"/>
    </row>
    <row r="28" spans="5:14" x14ac:dyDescent="0.3">
      <c r="E28" s="9">
        <v>33350</v>
      </c>
      <c r="F28" s="32" t="s">
        <v>439</v>
      </c>
      <c r="G28" s="9" t="s">
        <v>12</v>
      </c>
      <c r="H28" s="8">
        <v>46294</v>
      </c>
      <c r="I28" s="7">
        <v>5250</v>
      </c>
      <c r="J28" s="7">
        <v>4596</v>
      </c>
      <c r="K28" s="7">
        <v>654</v>
      </c>
      <c r="L28" s="6">
        <f t="shared" si="0"/>
        <v>0.12457142857142857</v>
      </c>
      <c r="M28" s="5">
        <f t="shared" si="1"/>
        <v>1.3022440811612673E-2</v>
      </c>
      <c r="N28" s="9"/>
    </row>
    <row r="29" spans="5:14" x14ac:dyDescent="0.3">
      <c r="E29" s="9">
        <v>33353</v>
      </c>
      <c r="F29" s="32" t="s">
        <v>438</v>
      </c>
      <c r="G29" s="9" t="s">
        <v>12</v>
      </c>
      <c r="H29" s="8">
        <v>46295</v>
      </c>
      <c r="I29" s="7">
        <v>8400</v>
      </c>
      <c r="J29" s="7">
        <v>7747</v>
      </c>
      <c r="K29" s="7">
        <v>653</v>
      </c>
      <c r="L29" s="6">
        <f t="shared" si="0"/>
        <v>7.7738095238095245E-2</v>
      </c>
      <c r="M29" s="5">
        <f t="shared" si="1"/>
        <v>1.300252882260409E-2</v>
      </c>
      <c r="N29" s="9"/>
    </row>
    <row r="30" spans="5:14" x14ac:dyDescent="0.3">
      <c r="E30" s="9">
        <v>33114</v>
      </c>
      <c r="F30" s="32" t="s">
        <v>397</v>
      </c>
      <c r="G30" s="9" t="s">
        <v>12</v>
      </c>
      <c r="H30" s="8">
        <v>46294</v>
      </c>
      <c r="I30" s="7">
        <v>20000</v>
      </c>
      <c r="J30" s="7">
        <v>19350</v>
      </c>
      <c r="K30" s="7">
        <v>650</v>
      </c>
      <c r="L30" s="6">
        <f t="shared" si="0"/>
        <v>3.2500000000000001E-2</v>
      </c>
      <c r="M30" s="5">
        <f t="shared" si="1"/>
        <v>1.2942792855578344E-2</v>
      </c>
      <c r="N30" s="9"/>
    </row>
    <row r="31" spans="5:14" x14ac:dyDescent="0.3">
      <c r="E31" s="9">
        <v>32973</v>
      </c>
      <c r="F31" s="32" t="s">
        <v>250</v>
      </c>
      <c r="G31" s="9" t="s">
        <v>176</v>
      </c>
      <c r="H31" s="8">
        <v>46296</v>
      </c>
      <c r="I31" s="7">
        <v>16000</v>
      </c>
      <c r="J31" s="7">
        <v>15360</v>
      </c>
      <c r="K31" s="7">
        <v>640</v>
      </c>
      <c r="L31" s="6">
        <f t="shared" si="0"/>
        <v>0.04</v>
      </c>
      <c r="M31" s="5">
        <f t="shared" si="1"/>
        <v>1.2743672965492524E-2</v>
      </c>
      <c r="N31" s="9"/>
    </row>
    <row r="32" spans="5:14" x14ac:dyDescent="0.3">
      <c r="E32" s="9">
        <v>33401</v>
      </c>
      <c r="F32" s="32" t="s">
        <v>437</v>
      </c>
      <c r="G32" s="9" t="s">
        <v>436</v>
      </c>
      <c r="H32" s="8">
        <v>46297</v>
      </c>
      <c r="I32" s="7">
        <v>2000</v>
      </c>
      <c r="J32" s="7">
        <v>1372</v>
      </c>
      <c r="K32" s="7">
        <v>628</v>
      </c>
      <c r="L32" s="6">
        <f t="shared" si="0"/>
        <v>0.314</v>
      </c>
      <c r="M32" s="5">
        <f t="shared" si="1"/>
        <v>1.2504729097389538E-2</v>
      </c>
      <c r="N32" s="9"/>
    </row>
    <row r="33" spans="5:14" x14ac:dyDescent="0.3">
      <c r="E33" s="9">
        <v>33356</v>
      </c>
      <c r="F33" s="32" t="s">
        <v>435</v>
      </c>
      <c r="G33" s="9" t="s">
        <v>434</v>
      </c>
      <c r="H33" s="8">
        <v>46294</v>
      </c>
      <c r="I33" s="7">
        <v>6300</v>
      </c>
      <c r="J33" s="7">
        <v>5740</v>
      </c>
      <c r="K33" s="7">
        <v>560</v>
      </c>
      <c r="L33" s="6">
        <f t="shared" si="0"/>
        <v>8.8888888888888892E-2</v>
      </c>
      <c r="M33" s="5">
        <f t="shared" si="1"/>
        <v>1.1150713844805957E-2</v>
      </c>
      <c r="N33" s="9"/>
    </row>
    <row r="34" spans="5:14" x14ac:dyDescent="0.3">
      <c r="E34" s="9">
        <v>32974</v>
      </c>
      <c r="F34" s="32" t="s">
        <v>250</v>
      </c>
      <c r="G34" s="9" t="s">
        <v>176</v>
      </c>
      <c r="H34" s="8">
        <v>46294</v>
      </c>
      <c r="I34" s="7">
        <v>16000</v>
      </c>
      <c r="J34" s="7">
        <v>15462</v>
      </c>
      <c r="K34" s="7">
        <v>538</v>
      </c>
      <c r="L34" s="6">
        <f t="shared" ref="L34:L65" si="2">K34/I34</f>
        <v>3.3625000000000002E-2</v>
      </c>
      <c r="M34" s="5">
        <f t="shared" ref="M34:M65" si="3">K34/$B$8</f>
        <v>1.0712650086617152E-2</v>
      </c>
      <c r="N34" s="9"/>
    </row>
    <row r="35" spans="5:14" x14ac:dyDescent="0.3">
      <c r="E35" s="9">
        <v>33332</v>
      </c>
      <c r="F35" s="32" t="s">
        <v>174</v>
      </c>
      <c r="G35" s="9" t="s">
        <v>71</v>
      </c>
      <c r="H35" s="8">
        <v>46294</v>
      </c>
      <c r="I35" s="7">
        <v>20000</v>
      </c>
      <c r="J35" s="7">
        <v>19550</v>
      </c>
      <c r="K35" s="7">
        <v>450</v>
      </c>
      <c r="L35" s="6">
        <f t="shared" si="2"/>
        <v>2.2499999999999999E-2</v>
      </c>
      <c r="M35" s="5">
        <f t="shared" si="3"/>
        <v>8.96039505386193E-3</v>
      </c>
      <c r="N35" s="9"/>
    </row>
    <row r="36" spans="5:14" x14ac:dyDescent="0.3">
      <c r="E36" s="9">
        <v>33349</v>
      </c>
      <c r="F36" s="32" t="s">
        <v>433</v>
      </c>
      <c r="G36" s="9" t="s">
        <v>12</v>
      </c>
      <c r="H36" s="8">
        <v>46295</v>
      </c>
      <c r="I36" s="7">
        <v>8400</v>
      </c>
      <c r="J36" s="7">
        <v>7956</v>
      </c>
      <c r="K36" s="7">
        <v>444</v>
      </c>
      <c r="L36" s="6">
        <f t="shared" si="2"/>
        <v>5.2857142857142859E-2</v>
      </c>
      <c r="M36" s="5">
        <f t="shared" si="3"/>
        <v>8.8409231198104381E-3</v>
      </c>
      <c r="N36" s="9"/>
    </row>
    <row r="37" spans="5:14" x14ac:dyDescent="0.3">
      <c r="E37" s="9">
        <v>33228</v>
      </c>
      <c r="F37" s="32" t="s">
        <v>432</v>
      </c>
      <c r="G37" s="9" t="s">
        <v>22</v>
      </c>
      <c r="H37" s="8">
        <v>46294</v>
      </c>
      <c r="I37" s="7">
        <v>4200</v>
      </c>
      <c r="J37" s="7">
        <v>3776</v>
      </c>
      <c r="K37" s="7">
        <v>424</v>
      </c>
      <c r="L37" s="6">
        <f t="shared" si="2"/>
        <v>0.10095238095238095</v>
      </c>
      <c r="M37" s="5">
        <f t="shared" si="3"/>
        <v>8.4426833396387957E-3</v>
      </c>
      <c r="N37" s="9"/>
    </row>
    <row r="38" spans="5:14" x14ac:dyDescent="0.3">
      <c r="E38" s="9">
        <v>33364</v>
      </c>
      <c r="F38" s="32" t="s">
        <v>431</v>
      </c>
      <c r="G38" s="9" t="s">
        <v>408</v>
      </c>
      <c r="H38" s="8">
        <v>46293</v>
      </c>
      <c r="I38" s="7">
        <v>3600</v>
      </c>
      <c r="J38" s="7">
        <v>3293</v>
      </c>
      <c r="K38" s="7">
        <v>307</v>
      </c>
      <c r="L38" s="6">
        <f t="shared" si="2"/>
        <v>8.5277777777777772E-2</v>
      </c>
      <c r="M38" s="5">
        <f t="shared" si="3"/>
        <v>6.1129806256346947E-3</v>
      </c>
      <c r="N38" s="9"/>
    </row>
    <row r="39" spans="5:14" x14ac:dyDescent="0.3">
      <c r="E39" s="9">
        <v>33341</v>
      </c>
      <c r="F39" s="32" t="s">
        <v>430</v>
      </c>
      <c r="G39" s="9" t="s">
        <v>12</v>
      </c>
      <c r="H39" s="8">
        <v>46293</v>
      </c>
      <c r="I39" s="7">
        <v>10500</v>
      </c>
      <c r="J39" s="7">
        <v>10223</v>
      </c>
      <c r="K39" s="7">
        <v>277</v>
      </c>
      <c r="L39" s="6">
        <f t="shared" si="2"/>
        <v>2.638095238095238E-2</v>
      </c>
      <c r="M39" s="5">
        <f t="shared" si="3"/>
        <v>5.5156209553772328E-3</v>
      </c>
      <c r="N39" s="9"/>
    </row>
    <row r="40" spans="5:14" x14ac:dyDescent="0.3">
      <c r="E40" s="9">
        <v>33342</v>
      </c>
      <c r="F40" s="32" t="s">
        <v>430</v>
      </c>
      <c r="G40" s="9" t="s">
        <v>12</v>
      </c>
      <c r="H40" s="8">
        <v>46295</v>
      </c>
      <c r="I40" s="7">
        <v>8400</v>
      </c>
      <c r="J40" s="7">
        <v>8154</v>
      </c>
      <c r="K40" s="7">
        <v>246</v>
      </c>
      <c r="L40" s="6">
        <f t="shared" si="2"/>
        <v>2.9285714285714286E-2</v>
      </c>
      <c r="M40" s="5">
        <f t="shared" si="3"/>
        <v>4.8983492961111883E-3</v>
      </c>
      <c r="N40" s="9"/>
    </row>
    <row r="41" spans="5:14" x14ac:dyDescent="0.3">
      <c r="E41" s="9">
        <v>33436</v>
      </c>
      <c r="F41" s="32" t="s">
        <v>418</v>
      </c>
      <c r="G41" s="9" t="s">
        <v>30</v>
      </c>
      <c r="H41" s="8">
        <v>46296</v>
      </c>
      <c r="I41" s="7">
        <v>2120</v>
      </c>
      <c r="J41" s="7">
        <v>1902</v>
      </c>
      <c r="K41" s="7">
        <v>218</v>
      </c>
      <c r="L41" s="6">
        <f t="shared" si="2"/>
        <v>0.10283018867924529</v>
      </c>
      <c r="M41" s="5">
        <f t="shared" si="3"/>
        <v>4.3408136038708906E-3</v>
      </c>
      <c r="N41" s="9"/>
    </row>
    <row r="42" spans="5:14" x14ac:dyDescent="0.3">
      <c r="E42" s="9">
        <v>33446</v>
      </c>
      <c r="F42" s="9" t="s">
        <v>402</v>
      </c>
      <c r="G42" s="9" t="s">
        <v>401</v>
      </c>
      <c r="H42" s="8">
        <v>46297</v>
      </c>
      <c r="I42" s="7">
        <v>7200</v>
      </c>
      <c r="J42" s="7">
        <v>7018</v>
      </c>
      <c r="K42" s="7">
        <v>182</v>
      </c>
      <c r="L42" s="6">
        <f t="shared" si="2"/>
        <v>2.5277777777777777E-2</v>
      </c>
      <c r="M42" s="5">
        <f t="shared" si="3"/>
        <v>3.6239819995619363E-3</v>
      </c>
      <c r="N42" s="9"/>
    </row>
    <row r="43" spans="5:14" x14ac:dyDescent="0.3">
      <c r="E43" s="9">
        <v>33343</v>
      </c>
      <c r="F43" s="9" t="s">
        <v>430</v>
      </c>
      <c r="G43" s="9" t="s">
        <v>12</v>
      </c>
      <c r="H43" s="8">
        <v>46295</v>
      </c>
      <c r="I43" s="7">
        <v>8400</v>
      </c>
      <c r="J43" s="7">
        <v>8221</v>
      </c>
      <c r="K43" s="7">
        <v>179</v>
      </c>
      <c r="L43" s="6">
        <f t="shared" si="2"/>
        <v>2.1309523809523809E-2</v>
      </c>
      <c r="M43" s="5">
        <f t="shared" si="3"/>
        <v>3.56424603253619E-3</v>
      </c>
      <c r="N43" s="9"/>
    </row>
    <row r="44" spans="5:14" x14ac:dyDescent="0.3">
      <c r="E44" s="9">
        <v>33397</v>
      </c>
      <c r="F44" s="9" t="s">
        <v>429</v>
      </c>
      <c r="G44" s="9" t="s">
        <v>2</v>
      </c>
      <c r="H44" s="8">
        <v>46293</v>
      </c>
      <c r="I44" s="7">
        <v>3600</v>
      </c>
      <c r="J44" s="7">
        <v>3421</v>
      </c>
      <c r="K44" s="7">
        <v>179</v>
      </c>
      <c r="L44" s="6">
        <f t="shared" si="2"/>
        <v>4.9722222222222223E-2</v>
      </c>
      <c r="M44" s="5">
        <f t="shared" si="3"/>
        <v>3.56424603253619E-3</v>
      </c>
      <c r="N44" s="9"/>
    </row>
    <row r="45" spans="5:14" x14ac:dyDescent="0.3">
      <c r="E45" s="9">
        <v>33257</v>
      </c>
      <c r="F45" s="9" t="s">
        <v>428</v>
      </c>
      <c r="G45" s="9" t="s">
        <v>30</v>
      </c>
      <c r="H45" s="8">
        <v>46293</v>
      </c>
      <c r="I45" s="7">
        <v>5700</v>
      </c>
      <c r="J45" s="7">
        <v>5544</v>
      </c>
      <c r="K45" s="7">
        <v>156</v>
      </c>
      <c r="L45" s="6">
        <f t="shared" si="2"/>
        <v>2.736842105263158E-2</v>
      </c>
      <c r="M45" s="5">
        <f t="shared" si="3"/>
        <v>3.1062702853388025E-3</v>
      </c>
      <c r="N45" s="9"/>
    </row>
    <row r="46" spans="5:14" x14ac:dyDescent="0.3">
      <c r="E46" s="9">
        <v>33421</v>
      </c>
      <c r="F46" s="9" t="s">
        <v>404</v>
      </c>
      <c r="G46" s="9" t="s">
        <v>403</v>
      </c>
      <c r="H46" s="8">
        <v>46296</v>
      </c>
      <c r="I46" s="7">
        <v>10000</v>
      </c>
      <c r="J46" s="7">
        <v>9850</v>
      </c>
      <c r="K46" s="7">
        <v>150</v>
      </c>
      <c r="L46" s="6">
        <f t="shared" si="2"/>
        <v>1.4999999999999999E-2</v>
      </c>
      <c r="M46" s="5">
        <f t="shared" si="3"/>
        <v>2.9867983512873101E-3</v>
      </c>
      <c r="N46" s="9"/>
    </row>
    <row r="47" spans="5:14" x14ac:dyDescent="0.3">
      <c r="E47" s="9">
        <v>33256</v>
      </c>
      <c r="F47" s="9" t="s">
        <v>428</v>
      </c>
      <c r="G47" s="9" t="s">
        <v>30</v>
      </c>
      <c r="H47" s="8">
        <v>46294</v>
      </c>
      <c r="I47" s="7">
        <v>5700</v>
      </c>
      <c r="J47" s="7">
        <v>5559</v>
      </c>
      <c r="K47" s="7">
        <v>141</v>
      </c>
      <c r="L47" s="6">
        <f t="shared" si="2"/>
        <v>2.4736842105263158E-2</v>
      </c>
      <c r="M47" s="5">
        <f t="shared" si="3"/>
        <v>2.8075904502100715E-3</v>
      </c>
      <c r="N47" s="9"/>
    </row>
    <row r="48" spans="5:14" x14ac:dyDescent="0.3">
      <c r="E48" s="9">
        <v>33424</v>
      </c>
      <c r="F48" s="9" t="s">
        <v>404</v>
      </c>
      <c r="G48" s="9" t="s">
        <v>403</v>
      </c>
      <c r="H48" s="8">
        <v>46296</v>
      </c>
      <c r="I48" s="7">
        <v>1000</v>
      </c>
      <c r="J48" s="7">
        <v>869</v>
      </c>
      <c r="K48" s="7">
        <v>131</v>
      </c>
      <c r="L48" s="6">
        <f t="shared" si="2"/>
        <v>0.13100000000000001</v>
      </c>
      <c r="M48" s="5">
        <f t="shared" si="3"/>
        <v>2.6084705601242507E-3</v>
      </c>
      <c r="N48" s="9"/>
    </row>
    <row r="49" spans="5:14" x14ac:dyDescent="0.3">
      <c r="E49" s="9">
        <v>33296</v>
      </c>
      <c r="F49" s="9" t="s">
        <v>427</v>
      </c>
      <c r="G49" s="9" t="s">
        <v>30</v>
      </c>
      <c r="H49" s="8">
        <v>46293</v>
      </c>
      <c r="I49" s="7">
        <v>5500</v>
      </c>
      <c r="J49" s="7">
        <v>5370</v>
      </c>
      <c r="K49" s="7">
        <v>130</v>
      </c>
      <c r="L49" s="6">
        <f t="shared" si="2"/>
        <v>2.3636363636363636E-2</v>
      </c>
      <c r="M49" s="5">
        <f t="shared" si="3"/>
        <v>2.5885585711156686E-3</v>
      </c>
      <c r="N49" s="9"/>
    </row>
    <row r="50" spans="5:14" x14ac:dyDescent="0.3">
      <c r="E50" s="9">
        <v>33272</v>
      </c>
      <c r="F50" s="9" t="s">
        <v>418</v>
      </c>
      <c r="G50" s="9" t="s">
        <v>30</v>
      </c>
      <c r="H50" s="8">
        <v>46294</v>
      </c>
      <c r="I50" s="7">
        <v>6400</v>
      </c>
      <c r="J50" s="7">
        <v>6283</v>
      </c>
      <c r="K50" s="7">
        <v>117</v>
      </c>
      <c r="L50" s="6">
        <f t="shared" si="2"/>
        <v>1.8281249999999999E-2</v>
      </c>
      <c r="M50" s="5">
        <f t="shared" si="3"/>
        <v>2.3297027140041018E-3</v>
      </c>
      <c r="N50" s="9"/>
    </row>
    <row r="51" spans="5:14" x14ac:dyDescent="0.3">
      <c r="E51" s="9">
        <v>33370</v>
      </c>
      <c r="F51" s="9" t="s">
        <v>426</v>
      </c>
      <c r="G51" s="9" t="s">
        <v>12</v>
      </c>
      <c r="H51" s="8">
        <v>46294</v>
      </c>
      <c r="I51" s="7">
        <v>2100</v>
      </c>
      <c r="J51" s="7">
        <v>2000</v>
      </c>
      <c r="K51" s="7">
        <v>100</v>
      </c>
      <c r="L51" s="6">
        <f t="shared" si="2"/>
        <v>4.7619047619047616E-2</v>
      </c>
      <c r="M51" s="5">
        <f t="shared" si="3"/>
        <v>1.9911989008582066E-3</v>
      </c>
      <c r="N51" s="9"/>
    </row>
    <row r="52" spans="5:14" x14ac:dyDescent="0.3">
      <c r="E52" s="9">
        <v>33400</v>
      </c>
      <c r="F52" s="9" t="s">
        <v>404</v>
      </c>
      <c r="G52" s="9" t="s">
        <v>403</v>
      </c>
      <c r="H52" s="8">
        <v>46296</v>
      </c>
      <c r="I52" s="7">
        <v>17000</v>
      </c>
      <c r="J52" s="7">
        <v>16900</v>
      </c>
      <c r="K52" s="7">
        <v>100</v>
      </c>
      <c r="L52" s="6">
        <f t="shared" si="2"/>
        <v>5.8823529411764705E-3</v>
      </c>
      <c r="M52" s="5">
        <f t="shared" si="3"/>
        <v>1.9911989008582066E-3</v>
      </c>
      <c r="N52" s="9"/>
    </row>
    <row r="53" spans="5:14" x14ac:dyDescent="0.3">
      <c r="E53" s="9">
        <v>33413</v>
      </c>
      <c r="F53" s="9" t="s">
        <v>425</v>
      </c>
      <c r="G53" s="9" t="s">
        <v>424</v>
      </c>
      <c r="H53" s="8">
        <v>46296</v>
      </c>
      <c r="I53" s="7">
        <v>2100</v>
      </c>
      <c r="J53" s="7">
        <v>2010</v>
      </c>
      <c r="K53" s="7">
        <v>90</v>
      </c>
      <c r="L53" s="6">
        <f t="shared" si="2"/>
        <v>4.2857142857142858E-2</v>
      </c>
      <c r="M53" s="5">
        <f t="shared" si="3"/>
        <v>1.792079010772386E-3</v>
      </c>
      <c r="N53" s="9"/>
    </row>
    <row r="54" spans="5:14" x14ac:dyDescent="0.3">
      <c r="E54" s="9">
        <v>33323</v>
      </c>
      <c r="F54" s="9" t="s">
        <v>423</v>
      </c>
      <c r="G54" s="9" t="s">
        <v>71</v>
      </c>
      <c r="H54" s="8">
        <v>46294</v>
      </c>
      <c r="I54" s="7">
        <v>6000</v>
      </c>
      <c r="J54" s="7">
        <v>5920</v>
      </c>
      <c r="K54" s="7">
        <v>80</v>
      </c>
      <c r="L54" s="6">
        <f t="shared" si="2"/>
        <v>1.3333333333333334E-2</v>
      </c>
      <c r="M54" s="5">
        <f t="shared" si="3"/>
        <v>1.5929591206865655E-3</v>
      </c>
      <c r="N54" s="9"/>
    </row>
    <row r="55" spans="5:14" x14ac:dyDescent="0.3">
      <c r="E55" s="9">
        <v>33429</v>
      </c>
      <c r="F55" s="9" t="s">
        <v>422</v>
      </c>
      <c r="G55" s="9" t="s">
        <v>421</v>
      </c>
      <c r="H55" s="8">
        <v>46296</v>
      </c>
      <c r="I55" s="7">
        <v>5400</v>
      </c>
      <c r="J55" s="7">
        <v>5321</v>
      </c>
      <c r="K55" s="7">
        <v>79</v>
      </c>
      <c r="L55" s="6">
        <f t="shared" si="2"/>
        <v>1.462962962962963E-2</v>
      </c>
      <c r="M55" s="5">
        <f t="shared" si="3"/>
        <v>1.5730471316779833E-3</v>
      </c>
      <c r="N55" s="9"/>
    </row>
    <row r="56" spans="5:14" x14ac:dyDescent="0.3">
      <c r="E56" s="9">
        <v>33415</v>
      </c>
      <c r="F56" s="9" t="s">
        <v>420</v>
      </c>
      <c r="G56" s="9" t="s">
        <v>222</v>
      </c>
      <c r="H56" s="8">
        <v>46295</v>
      </c>
      <c r="I56" s="7">
        <v>1900</v>
      </c>
      <c r="J56" s="7">
        <v>1832</v>
      </c>
      <c r="K56" s="7">
        <v>68</v>
      </c>
      <c r="L56" s="6">
        <f t="shared" si="2"/>
        <v>3.5789473684210524E-2</v>
      </c>
      <c r="M56" s="5">
        <f t="shared" si="3"/>
        <v>1.3540152525835806E-3</v>
      </c>
      <c r="N56" s="9"/>
    </row>
    <row r="57" spans="5:14" x14ac:dyDescent="0.3">
      <c r="E57" s="9">
        <v>33447</v>
      </c>
      <c r="F57" s="9" t="s">
        <v>402</v>
      </c>
      <c r="G57" s="9" t="s">
        <v>401</v>
      </c>
      <c r="H57" s="8">
        <v>46297</v>
      </c>
      <c r="I57" s="7">
        <v>7200</v>
      </c>
      <c r="J57" s="7">
        <v>7132</v>
      </c>
      <c r="K57" s="7">
        <v>68</v>
      </c>
      <c r="L57" s="6">
        <f t="shared" si="2"/>
        <v>9.4444444444444445E-3</v>
      </c>
      <c r="M57" s="5">
        <f t="shared" si="3"/>
        <v>1.3540152525835806E-3</v>
      </c>
      <c r="N57" s="9"/>
    </row>
    <row r="58" spans="5:14" x14ac:dyDescent="0.3">
      <c r="E58" s="9">
        <v>33417</v>
      </c>
      <c r="F58" s="9" t="s">
        <v>419</v>
      </c>
      <c r="G58" s="9" t="s">
        <v>408</v>
      </c>
      <c r="H58" s="8">
        <v>46295</v>
      </c>
      <c r="I58" s="7">
        <v>2200</v>
      </c>
      <c r="J58" s="7">
        <v>2136</v>
      </c>
      <c r="K58" s="7">
        <v>64</v>
      </c>
      <c r="L58" s="6">
        <f t="shared" si="2"/>
        <v>2.9090909090909091E-2</v>
      </c>
      <c r="M58" s="5">
        <f t="shared" si="3"/>
        <v>1.2743672965492524E-3</v>
      </c>
      <c r="N58" s="9"/>
    </row>
    <row r="59" spans="5:14" x14ac:dyDescent="0.3">
      <c r="E59" s="9">
        <v>33435</v>
      </c>
      <c r="F59" s="9" t="s">
        <v>300</v>
      </c>
      <c r="G59" s="9" t="s">
        <v>12</v>
      </c>
      <c r="H59" s="8">
        <v>46296</v>
      </c>
      <c r="I59" s="7">
        <v>3000</v>
      </c>
      <c r="J59" s="7">
        <v>2940</v>
      </c>
      <c r="K59" s="7">
        <v>60</v>
      </c>
      <c r="L59" s="6">
        <f t="shared" si="2"/>
        <v>0.02</v>
      </c>
      <c r="M59" s="5">
        <f t="shared" si="3"/>
        <v>1.1947193405149241E-3</v>
      </c>
      <c r="N59" s="9"/>
    </row>
    <row r="60" spans="5:14" x14ac:dyDescent="0.3">
      <c r="E60" s="9">
        <v>33336</v>
      </c>
      <c r="F60" s="9" t="s">
        <v>407</v>
      </c>
      <c r="G60" s="9" t="s">
        <v>271</v>
      </c>
      <c r="H60" s="8">
        <v>46296</v>
      </c>
      <c r="I60" s="7">
        <v>7000</v>
      </c>
      <c r="J60" s="7">
        <v>6943</v>
      </c>
      <c r="K60" s="7">
        <v>57</v>
      </c>
      <c r="L60" s="6">
        <f t="shared" si="2"/>
        <v>8.1428571428571427E-3</v>
      </c>
      <c r="M60" s="5">
        <f t="shared" si="3"/>
        <v>1.1349833734891777E-3</v>
      </c>
      <c r="N60" s="9"/>
    </row>
    <row r="61" spans="5:14" x14ac:dyDescent="0.3">
      <c r="E61" s="9">
        <v>33271</v>
      </c>
      <c r="F61" s="9" t="s">
        <v>418</v>
      </c>
      <c r="G61" s="9" t="s">
        <v>30</v>
      </c>
      <c r="H61" s="8">
        <v>46294</v>
      </c>
      <c r="I61" s="7">
        <v>6390</v>
      </c>
      <c r="J61" s="7">
        <v>6334</v>
      </c>
      <c r="K61" s="7">
        <v>56</v>
      </c>
      <c r="L61" s="6">
        <f t="shared" si="2"/>
        <v>8.7636932707355238E-3</v>
      </c>
      <c r="M61" s="5">
        <f t="shared" si="3"/>
        <v>1.1150713844805958E-3</v>
      </c>
      <c r="N61" s="9"/>
    </row>
    <row r="62" spans="5:14" x14ac:dyDescent="0.3">
      <c r="E62" s="9">
        <v>33365</v>
      </c>
      <c r="F62" s="9" t="s">
        <v>416</v>
      </c>
      <c r="G62" s="9" t="s">
        <v>408</v>
      </c>
      <c r="H62" s="8">
        <v>46293</v>
      </c>
      <c r="I62" s="7">
        <v>1800</v>
      </c>
      <c r="J62" s="7">
        <v>1744</v>
      </c>
      <c r="K62" s="7">
        <v>56</v>
      </c>
      <c r="L62" s="6">
        <f t="shared" si="2"/>
        <v>3.111111111111111E-2</v>
      </c>
      <c r="M62" s="5">
        <f t="shared" si="3"/>
        <v>1.1150713844805958E-3</v>
      </c>
      <c r="N62" s="9"/>
    </row>
    <row r="63" spans="5:14" x14ac:dyDescent="0.3">
      <c r="E63" s="9">
        <v>33432</v>
      </c>
      <c r="F63" s="9" t="s">
        <v>417</v>
      </c>
      <c r="G63" s="9" t="s">
        <v>7</v>
      </c>
      <c r="H63" s="8">
        <v>46296</v>
      </c>
      <c r="I63" s="7">
        <v>4000</v>
      </c>
      <c r="J63" s="7">
        <v>3953</v>
      </c>
      <c r="K63" s="7">
        <v>47</v>
      </c>
      <c r="L63" s="6">
        <f t="shared" si="2"/>
        <v>1.175E-2</v>
      </c>
      <c r="M63" s="5">
        <f t="shared" si="3"/>
        <v>9.3586348340335716E-4</v>
      </c>
      <c r="N63" s="9"/>
    </row>
    <row r="64" spans="5:14" x14ac:dyDescent="0.3">
      <c r="E64" s="9">
        <v>33419</v>
      </c>
      <c r="F64" s="9" t="s">
        <v>416</v>
      </c>
      <c r="G64" s="9" t="s">
        <v>408</v>
      </c>
      <c r="H64" s="8">
        <v>46295</v>
      </c>
      <c r="I64" s="7">
        <v>1800</v>
      </c>
      <c r="J64" s="7">
        <v>1755</v>
      </c>
      <c r="K64" s="7">
        <v>45</v>
      </c>
      <c r="L64" s="6">
        <f t="shared" si="2"/>
        <v>2.5000000000000001E-2</v>
      </c>
      <c r="M64" s="5">
        <f t="shared" si="3"/>
        <v>8.9603950538619302E-4</v>
      </c>
      <c r="N64" s="9"/>
    </row>
    <row r="65" spans="5:14" x14ac:dyDescent="0.3">
      <c r="E65" s="9">
        <v>33359</v>
      </c>
      <c r="F65" s="9" t="s">
        <v>415</v>
      </c>
      <c r="G65" s="9" t="s">
        <v>414</v>
      </c>
      <c r="H65" s="8">
        <v>46294</v>
      </c>
      <c r="I65" s="7">
        <v>2100</v>
      </c>
      <c r="J65" s="7">
        <v>2059</v>
      </c>
      <c r="K65" s="7">
        <v>41</v>
      </c>
      <c r="L65" s="6">
        <f t="shared" si="2"/>
        <v>1.9523809523809523E-2</v>
      </c>
      <c r="M65" s="5">
        <f t="shared" si="3"/>
        <v>8.1639154935186475E-4</v>
      </c>
      <c r="N65" s="9"/>
    </row>
    <row r="66" spans="5:14" x14ac:dyDescent="0.3">
      <c r="E66" s="9">
        <v>33418</v>
      </c>
      <c r="F66" s="9" t="s">
        <v>413</v>
      </c>
      <c r="G66" s="9" t="s">
        <v>260</v>
      </c>
      <c r="H66" s="8">
        <v>46295</v>
      </c>
      <c r="I66" s="7">
        <v>2200</v>
      </c>
      <c r="J66" s="7">
        <v>2160</v>
      </c>
      <c r="K66" s="7">
        <v>40</v>
      </c>
      <c r="L66" s="6">
        <f t="shared" ref="L66:L86" si="4">K66/I66</f>
        <v>1.8181818181818181E-2</v>
      </c>
      <c r="M66" s="5">
        <f t="shared" ref="M66:M86" si="5">K66/$B$8</f>
        <v>7.9647956034328274E-4</v>
      </c>
      <c r="N66" s="9"/>
    </row>
    <row r="67" spans="5:14" x14ac:dyDescent="0.3">
      <c r="E67" s="9">
        <v>33449</v>
      </c>
      <c r="F67" s="9" t="s">
        <v>402</v>
      </c>
      <c r="G67" s="9" t="s">
        <v>401</v>
      </c>
      <c r="H67" s="8">
        <v>46297</v>
      </c>
      <c r="I67" s="7">
        <v>3600</v>
      </c>
      <c r="J67" s="7">
        <v>3560</v>
      </c>
      <c r="K67" s="7">
        <v>40</v>
      </c>
      <c r="L67" s="6">
        <f t="shared" si="4"/>
        <v>1.1111111111111112E-2</v>
      </c>
      <c r="M67" s="5">
        <f t="shared" si="5"/>
        <v>7.9647956034328274E-4</v>
      </c>
      <c r="N67" s="9"/>
    </row>
    <row r="68" spans="5:14" x14ac:dyDescent="0.3">
      <c r="E68" s="9">
        <v>33475</v>
      </c>
      <c r="F68" s="9" t="s">
        <v>404</v>
      </c>
      <c r="G68" s="9" t="s">
        <v>403</v>
      </c>
      <c r="H68" s="8">
        <v>46297</v>
      </c>
      <c r="I68" s="7">
        <v>3000</v>
      </c>
      <c r="J68" s="7">
        <v>2960</v>
      </c>
      <c r="K68" s="7">
        <v>40</v>
      </c>
      <c r="L68" s="6">
        <f t="shared" si="4"/>
        <v>1.3333333333333334E-2</v>
      </c>
      <c r="M68" s="5">
        <f t="shared" si="5"/>
        <v>7.9647956034328274E-4</v>
      </c>
      <c r="N68" s="9"/>
    </row>
    <row r="69" spans="5:14" x14ac:dyDescent="0.3">
      <c r="E69" s="9">
        <v>33414</v>
      </c>
      <c r="F69" s="9" t="s">
        <v>412</v>
      </c>
      <c r="G69" s="9" t="s">
        <v>222</v>
      </c>
      <c r="H69" s="8">
        <v>46295</v>
      </c>
      <c r="I69" s="7">
        <v>1900</v>
      </c>
      <c r="J69" s="7">
        <v>1873</v>
      </c>
      <c r="K69" s="7">
        <v>27</v>
      </c>
      <c r="L69" s="6">
        <f t="shared" si="4"/>
        <v>1.4210526315789474E-2</v>
      </c>
      <c r="M69" s="5">
        <f t="shared" si="5"/>
        <v>5.3762370323171579E-4</v>
      </c>
      <c r="N69" s="9"/>
    </row>
    <row r="70" spans="5:14" x14ac:dyDescent="0.3">
      <c r="E70" s="9">
        <v>33412</v>
      </c>
      <c r="F70" s="9" t="s">
        <v>411</v>
      </c>
      <c r="G70" s="9" t="s">
        <v>410</v>
      </c>
      <c r="H70" s="8">
        <v>46295</v>
      </c>
      <c r="I70" s="7">
        <v>800</v>
      </c>
      <c r="J70" s="7">
        <v>775</v>
      </c>
      <c r="K70" s="7">
        <v>25</v>
      </c>
      <c r="L70" s="6">
        <f t="shared" si="4"/>
        <v>3.125E-2</v>
      </c>
      <c r="M70" s="5">
        <f t="shared" si="5"/>
        <v>4.9779972521455166E-4</v>
      </c>
      <c r="N70" s="9"/>
    </row>
    <row r="71" spans="5:14" x14ac:dyDescent="0.3">
      <c r="E71" s="9">
        <v>33416</v>
      </c>
      <c r="F71" s="9" t="s">
        <v>409</v>
      </c>
      <c r="G71" s="9" t="s">
        <v>408</v>
      </c>
      <c r="H71" s="8">
        <v>46296</v>
      </c>
      <c r="I71" s="7">
        <v>2200</v>
      </c>
      <c r="J71" s="7">
        <v>2175</v>
      </c>
      <c r="K71" s="7">
        <v>25</v>
      </c>
      <c r="L71" s="6">
        <f t="shared" si="4"/>
        <v>1.1363636363636364E-2</v>
      </c>
      <c r="M71" s="5">
        <f t="shared" si="5"/>
        <v>4.9779972521455166E-4</v>
      </c>
      <c r="N71" s="9"/>
    </row>
    <row r="72" spans="5:14" x14ac:dyDescent="0.3">
      <c r="E72" s="9">
        <v>33335</v>
      </c>
      <c r="F72" s="9" t="s">
        <v>407</v>
      </c>
      <c r="G72" s="9" t="s">
        <v>271</v>
      </c>
      <c r="H72" s="8">
        <v>46295</v>
      </c>
      <c r="I72" s="7">
        <v>7000</v>
      </c>
      <c r="J72" s="7">
        <v>6977</v>
      </c>
      <c r="K72" s="7">
        <v>23</v>
      </c>
      <c r="L72" s="6">
        <f t="shared" si="4"/>
        <v>3.2857142857142859E-3</v>
      </c>
      <c r="M72" s="5">
        <f t="shared" si="5"/>
        <v>4.5797574719738757E-4</v>
      </c>
      <c r="N72" s="9"/>
    </row>
    <row r="73" spans="5:14" x14ac:dyDescent="0.3">
      <c r="E73" s="9">
        <v>33426</v>
      </c>
      <c r="F73" s="9" t="s">
        <v>409</v>
      </c>
      <c r="G73" s="9" t="s">
        <v>408</v>
      </c>
      <c r="H73" s="8">
        <v>46295</v>
      </c>
      <c r="I73" s="7">
        <v>2200</v>
      </c>
      <c r="J73" s="7">
        <v>2177</v>
      </c>
      <c r="K73" s="7">
        <v>23</v>
      </c>
      <c r="L73" s="6">
        <f t="shared" si="4"/>
        <v>1.0454545454545454E-2</v>
      </c>
      <c r="M73" s="5">
        <f t="shared" si="5"/>
        <v>4.5797574719738757E-4</v>
      </c>
      <c r="N73" s="9"/>
    </row>
    <row r="74" spans="5:14" x14ac:dyDescent="0.3">
      <c r="E74" s="9">
        <v>33425</v>
      </c>
      <c r="F74" s="9" t="s">
        <v>404</v>
      </c>
      <c r="G74" s="9" t="s">
        <v>403</v>
      </c>
      <c r="H74" s="8">
        <v>46296</v>
      </c>
      <c r="I74" s="7">
        <v>1000</v>
      </c>
      <c r="J74" s="7">
        <v>985</v>
      </c>
      <c r="K74" s="7">
        <v>15</v>
      </c>
      <c r="L74" s="6">
        <f t="shared" si="4"/>
        <v>1.4999999999999999E-2</v>
      </c>
      <c r="M74" s="5">
        <f t="shared" si="5"/>
        <v>2.9867983512873103E-4</v>
      </c>
      <c r="N74" s="9"/>
    </row>
    <row r="75" spans="5:14" x14ac:dyDescent="0.3">
      <c r="E75" s="9">
        <v>33399</v>
      </c>
      <c r="F75" s="9" t="s">
        <v>374</v>
      </c>
      <c r="G75" s="9" t="s">
        <v>372</v>
      </c>
      <c r="H75" s="8">
        <v>46294</v>
      </c>
      <c r="I75" s="7">
        <v>10900</v>
      </c>
      <c r="J75" s="7">
        <v>10890</v>
      </c>
      <c r="K75" s="7">
        <v>10</v>
      </c>
      <c r="L75" s="6">
        <f t="shared" si="4"/>
        <v>9.1743119266055051E-4</v>
      </c>
      <c r="M75" s="5">
        <f t="shared" si="5"/>
        <v>1.9911989008582068E-4</v>
      </c>
      <c r="N75" s="9"/>
    </row>
    <row r="76" spans="5:14" x14ac:dyDescent="0.3">
      <c r="E76" s="9">
        <v>33423</v>
      </c>
      <c r="F76" s="9" t="s">
        <v>404</v>
      </c>
      <c r="G76" s="9" t="s">
        <v>403</v>
      </c>
      <c r="H76" s="8">
        <v>46296</v>
      </c>
      <c r="I76" s="7">
        <v>1000</v>
      </c>
      <c r="J76" s="7">
        <v>996</v>
      </c>
      <c r="K76" s="7">
        <v>4</v>
      </c>
      <c r="L76" s="6">
        <f t="shared" si="4"/>
        <v>4.0000000000000001E-3</v>
      </c>
      <c r="M76" s="5">
        <f t="shared" si="5"/>
        <v>7.9647956034328274E-5</v>
      </c>
      <c r="N76" s="9"/>
    </row>
    <row r="77" spans="5:14" x14ac:dyDescent="0.3">
      <c r="E77" s="9">
        <v>33298</v>
      </c>
      <c r="F77" s="9" t="s">
        <v>190</v>
      </c>
      <c r="G77" s="9" t="s">
        <v>2</v>
      </c>
      <c r="H77" s="8">
        <v>46297</v>
      </c>
      <c r="I77" s="7">
        <v>10800</v>
      </c>
      <c r="J77" s="7">
        <v>10800</v>
      </c>
      <c r="K77" s="7">
        <v>0</v>
      </c>
      <c r="L77" s="6">
        <f t="shared" si="4"/>
        <v>0</v>
      </c>
      <c r="M77" s="5">
        <f t="shared" si="5"/>
        <v>0</v>
      </c>
      <c r="N77" s="9"/>
    </row>
    <row r="78" spans="5:14" x14ac:dyDescent="0.3">
      <c r="E78" s="9">
        <v>33309</v>
      </c>
      <c r="F78" s="9" t="s">
        <v>375</v>
      </c>
      <c r="G78" s="9" t="s">
        <v>372</v>
      </c>
      <c r="H78" s="8">
        <v>46294</v>
      </c>
      <c r="I78" s="7">
        <v>20000</v>
      </c>
      <c r="J78" s="7">
        <v>20045</v>
      </c>
      <c r="K78" s="7">
        <v>0</v>
      </c>
      <c r="L78" s="6">
        <f t="shared" si="4"/>
        <v>0</v>
      </c>
      <c r="M78" s="5">
        <f t="shared" si="5"/>
        <v>0</v>
      </c>
      <c r="N78" s="9"/>
    </row>
    <row r="79" spans="5:14" x14ac:dyDescent="0.3">
      <c r="E79" s="9">
        <v>33310</v>
      </c>
      <c r="F79" s="9" t="s">
        <v>374</v>
      </c>
      <c r="G79" s="9" t="s">
        <v>372</v>
      </c>
      <c r="H79" s="8">
        <v>46295</v>
      </c>
      <c r="I79" s="7">
        <v>22000</v>
      </c>
      <c r="J79" s="7">
        <v>22000</v>
      </c>
      <c r="K79" s="7">
        <v>0</v>
      </c>
      <c r="L79" s="6">
        <f t="shared" si="4"/>
        <v>0</v>
      </c>
      <c r="M79" s="5">
        <f t="shared" si="5"/>
        <v>0</v>
      </c>
      <c r="N79" s="9"/>
    </row>
    <row r="80" spans="5:14" x14ac:dyDescent="0.3">
      <c r="E80" s="9">
        <v>33320</v>
      </c>
      <c r="F80" s="9" t="s">
        <v>300</v>
      </c>
      <c r="G80" s="9" t="s">
        <v>12</v>
      </c>
      <c r="H80" s="8">
        <v>46296</v>
      </c>
      <c r="I80" s="7">
        <v>3000</v>
      </c>
      <c r="J80" s="7">
        <v>3040</v>
      </c>
      <c r="K80" s="7">
        <v>0</v>
      </c>
      <c r="L80" s="6">
        <f t="shared" si="4"/>
        <v>0</v>
      </c>
      <c r="M80" s="5">
        <f t="shared" si="5"/>
        <v>0</v>
      </c>
      <c r="N80" s="9"/>
    </row>
    <row r="81" spans="5:14" x14ac:dyDescent="0.3">
      <c r="E81" s="9">
        <v>33337</v>
      </c>
      <c r="F81" s="9" t="s">
        <v>407</v>
      </c>
      <c r="G81" s="9" t="s">
        <v>271</v>
      </c>
      <c r="H81" s="8">
        <v>46296</v>
      </c>
      <c r="I81" s="7">
        <v>7000</v>
      </c>
      <c r="J81" s="7">
        <v>7095</v>
      </c>
      <c r="K81" s="7">
        <v>0</v>
      </c>
      <c r="L81" s="6">
        <f t="shared" si="4"/>
        <v>0</v>
      </c>
      <c r="M81" s="5">
        <f t="shared" si="5"/>
        <v>0</v>
      </c>
      <c r="N81" s="9"/>
    </row>
    <row r="82" spans="5:14" x14ac:dyDescent="0.3">
      <c r="E82" s="9">
        <v>33338</v>
      </c>
      <c r="F82" s="9" t="s">
        <v>407</v>
      </c>
      <c r="G82" s="9" t="s">
        <v>271</v>
      </c>
      <c r="H82" s="8">
        <v>46295</v>
      </c>
      <c r="I82" s="7">
        <v>3500</v>
      </c>
      <c r="J82" s="7">
        <v>3533</v>
      </c>
      <c r="K82" s="7">
        <v>0</v>
      </c>
      <c r="L82" s="6">
        <f t="shared" si="4"/>
        <v>0</v>
      </c>
      <c r="M82" s="5">
        <f t="shared" si="5"/>
        <v>0</v>
      </c>
      <c r="N82" s="9"/>
    </row>
    <row r="83" spans="5:14" x14ac:dyDescent="0.3">
      <c r="E83" s="9">
        <v>33409</v>
      </c>
      <c r="F83" s="9" t="s">
        <v>343</v>
      </c>
      <c r="G83" s="9" t="s">
        <v>2</v>
      </c>
      <c r="H83" s="8">
        <v>46295</v>
      </c>
      <c r="I83" s="7">
        <v>1600</v>
      </c>
      <c r="J83" s="7">
        <v>1600</v>
      </c>
      <c r="K83" s="7">
        <v>0</v>
      </c>
      <c r="L83" s="6">
        <f t="shared" si="4"/>
        <v>0</v>
      </c>
      <c r="M83" s="5">
        <f t="shared" si="5"/>
        <v>0</v>
      </c>
      <c r="N83" s="9"/>
    </row>
    <row r="84" spans="5:14" x14ac:dyDescent="0.3">
      <c r="E84" s="9">
        <v>33420</v>
      </c>
      <c r="F84" s="9" t="s">
        <v>406</v>
      </c>
      <c r="G84" s="9" t="s">
        <v>405</v>
      </c>
      <c r="H84" s="8">
        <v>46295</v>
      </c>
      <c r="I84" s="7">
        <v>10500</v>
      </c>
      <c r="J84" s="7">
        <v>10525</v>
      </c>
      <c r="K84" s="7">
        <v>0</v>
      </c>
      <c r="L84" s="6">
        <f t="shared" si="4"/>
        <v>0</v>
      </c>
      <c r="M84" s="5">
        <f t="shared" si="5"/>
        <v>0</v>
      </c>
      <c r="N84" s="9"/>
    </row>
    <row r="85" spans="5:14" x14ac:dyDescent="0.3">
      <c r="E85" s="9">
        <v>33422</v>
      </c>
      <c r="F85" s="9" t="s">
        <v>404</v>
      </c>
      <c r="G85" s="9" t="s">
        <v>403</v>
      </c>
      <c r="H85" s="8">
        <v>46296</v>
      </c>
      <c r="I85" s="7">
        <v>6000</v>
      </c>
      <c r="J85" s="7">
        <v>6000</v>
      </c>
      <c r="K85" s="7">
        <v>0</v>
      </c>
      <c r="L85" s="6">
        <f t="shared" si="4"/>
        <v>0</v>
      </c>
      <c r="M85" s="5">
        <f t="shared" si="5"/>
        <v>0</v>
      </c>
      <c r="N85" s="9"/>
    </row>
    <row r="86" spans="5:14" x14ac:dyDescent="0.3">
      <c r="E86" s="9">
        <v>33448</v>
      </c>
      <c r="F86" s="9" t="s">
        <v>402</v>
      </c>
      <c r="G86" s="9" t="s">
        <v>401</v>
      </c>
      <c r="H86" s="8">
        <v>46297</v>
      </c>
      <c r="I86" s="7">
        <v>7200</v>
      </c>
      <c r="J86" s="7">
        <v>7275</v>
      </c>
      <c r="K86" s="7">
        <v>0</v>
      </c>
      <c r="L86" s="6">
        <f t="shared" si="4"/>
        <v>0</v>
      </c>
      <c r="M86" s="5">
        <f t="shared" si="5"/>
        <v>0</v>
      </c>
      <c r="N86" s="9"/>
    </row>
    <row r="87" spans="5:14" x14ac:dyDescent="0.3">
      <c r="I87"/>
      <c r="J87"/>
      <c r="K87"/>
      <c r="L87"/>
    </row>
    <row r="88" spans="5:14" x14ac:dyDescent="0.3">
      <c r="I88"/>
      <c r="J88"/>
      <c r="K88"/>
      <c r="L88"/>
    </row>
    <row r="89" spans="5:14" x14ac:dyDescent="0.3">
      <c r="I89"/>
      <c r="J89"/>
      <c r="K89"/>
      <c r="L89"/>
    </row>
    <row r="90" spans="5:14" x14ac:dyDescent="0.3">
      <c r="I90"/>
      <c r="J90"/>
      <c r="K90"/>
      <c r="L90"/>
    </row>
  </sheetData>
  <autoFilter ref="E1:N1" xr:uid="{ED0A2852-B90F-4E5C-9DCF-FC384D5546E0}">
    <sortState xmlns:xlrd2="http://schemas.microsoft.com/office/spreadsheetml/2017/richdata2" ref="E2:N90">
      <sortCondition descending="1" ref="M1"/>
    </sortState>
  </autoFilter>
  <mergeCells count="1">
    <mergeCell ref="A1:B1"/>
  </mergeCells>
  <conditionalFormatting sqref="E2:E41">
    <cfRule type="duplicateValues" dxfId="3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9275-DB2E-429E-B718-5D95613B29A6}">
  <sheetPr>
    <tabColor rgb="FFFF0000"/>
    <pageSetUpPr fitToPage="1"/>
  </sheetPr>
  <dimension ref="A1:M66"/>
  <sheetViews>
    <sheetView zoomScaleNormal="100" workbookViewId="0">
      <selection activeCell="F15" sqref="F15"/>
    </sheetView>
  </sheetViews>
  <sheetFormatPr baseColWidth="10" defaultRowHeight="14.4" x14ac:dyDescent="0.3"/>
  <cols>
    <col min="1" max="1" width="23.21875" bestFit="1" customWidth="1"/>
    <col min="2" max="3" width="10.44140625" customWidth="1"/>
    <col min="4" max="4" width="12.77734375" customWidth="1"/>
    <col min="5" max="5" width="6" bestFit="1" customWidth="1"/>
    <col min="6" max="6" width="78.33203125" bestFit="1" customWidth="1"/>
    <col min="7" max="7" width="32.109375" bestFit="1" customWidth="1"/>
    <col min="8" max="8" width="19.33203125" bestFit="1" customWidth="1"/>
    <col min="9" max="9" width="20.5546875" bestFit="1" customWidth="1"/>
    <col min="10" max="10" width="23.5546875" bestFit="1" customWidth="1"/>
    <col min="11" max="11" width="13.44140625" bestFit="1" customWidth="1"/>
    <col min="12" max="12" width="11.6640625" bestFit="1" customWidth="1"/>
    <col min="13" max="13" width="23.21875" bestFit="1" customWidth="1"/>
  </cols>
  <sheetData>
    <row r="1" spans="1:13" x14ac:dyDescent="0.3">
      <c r="A1" s="55" t="s">
        <v>119</v>
      </c>
      <c r="B1" s="55"/>
      <c r="C1" s="54"/>
      <c r="E1" s="23" t="s">
        <v>118</v>
      </c>
      <c r="F1" s="42" t="s">
        <v>117</v>
      </c>
      <c r="G1" s="23" t="s">
        <v>116</v>
      </c>
      <c r="H1" s="47" t="s">
        <v>115</v>
      </c>
      <c r="I1" s="30" t="s">
        <v>114</v>
      </c>
      <c r="J1" s="30" t="s">
        <v>113</v>
      </c>
      <c r="K1" s="30" t="s">
        <v>112</v>
      </c>
      <c r="L1" s="53" t="s">
        <v>111</v>
      </c>
      <c r="M1" s="23" t="s">
        <v>110</v>
      </c>
    </row>
    <row r="2" spans="1:13" x14ac:dyDescent="0.3">
      <c r="A2" s="15" t="s">
        <v>109</v>
      </c>
      <c r="B2" s="8">
        <v>46298</v>
      </c>
      <c r="C2" s="4"/>
      <c r="E2" s="9">
        <v>33175</v>
      </c>
      <c r="F2" s="32" t="s">
        <v>479</v>
      </c>
      <c r="G2" s="9" t="s">
        <v>12</v>
      </c>
      <c r="H2" s="8">
        <v>46302</v>
      </c>
      <c r="I2" s="7">
        <v>12000</v>
      </c>
      <c r="J2" s="7">
        <v>9050</v>
      </c>
      <c r="K2" s="7">
        <v>2950</v>
      </c>
      <c r="L2" s="6">
        <f t="shared" ref="L2:L33" si="0">K2/I2</f>
        <v>0.24583333333333332</v>
      </c>
      <c r="M2" s="5">
        <f t="shared" ref="M2:M33" si="1">K2/$B$8</f>
        <v>8.2681689509235129E-2</v>
      </c>
    </row>
    <row r="3" spans="1:13" x14ac:dyDescent="0.3">
      <c r="A3" s="15" t="s">
        <v>107</v>
      </c>
      <c r="B3" s="8">
        <v>46304</v>
      </c>
      <c r="C3" s="4"/>
      <c r="E3" s="9">
        <v>33325</v>
      </c>
      <c r="F3" s="32" t="s">
        <v>444</v>
      </c>
      <c r="G3" s="9" t="s">
        <v>12</v>
      </c>
      <c r="H3" s="8">
        <v>46300</v>
      </c>
      <c r="I3" s="7">
        <v>20000</v>
      </c>
      <c r="J3" s="7">
        <v>17150</v>
      </c>
      <c r="K3" s="7">
        <v>2850</v>
      </c>
      <c r="L3" s="6">
        <f t="shared" si="0"/>
        <v>0.14249999999999999</v>
      </c>
      <c r="M3" s="5">
        <f t="shared" si="1"/>
        <v>7.9878920373328846E-2</v>
      </c>
    </row>
    <row r="4" spans="1:13" x14ac:dyDescent="0.3">
      <c r="E4" s="9">
        <v>33236</v>
      </c>
      <c r="F4" s="32" t="s">
        <v>484</v>
      </c>
      <c r="G4" s="9" t="s">
        <v>12</v>
      </c>
      <c r="H4" s="8">
        <v>46304</v>
      </c>
      <c r="I4" s="7">
        <v>9800</v>
      </c>
      <c r="J4" s="7">
        <v>7460</v>
      </c>
      <c r="K4" s="7">
        <v>2340</v>
      </c>
      <c r="L4" s="6">
        <f t="shared" si="0"/>
        <v>0.23877551020408164</v>
      </c>
      <c r="M4" s="5">
        <f t="shared" si="1"/>
        <v>6.5584797780206844E-2</v>
      </c>
    </row>
    <row r="5" spans="1:13" x14ac:dyDescent="0.3">
      <c r="A5" s="15" t="s">
        <v>105</v>
      </c>
      <c r="B5" s="9">
        <f>SUBTOTAL(3,E2:E1048576)</f>
        <v>65</v>
      </c>
      <c r="E5" s="9">
        <v>33466</v>
      </c>
      <c r="F5" s="32" t="s">
        <v>483</v>
      </c>
      <c r="G5" s="9" t="s">
        <v>12</v>
      </c>
      <c r="H5" s="8">
        <v>46302</v>
      </c>
      <c r="I5" s="7">
        <v>8000</v>
      </c>
      <c r="J5" s="7">
        <v>5937</v>
      </c>
      <c r="K5" s="7">
        <v>2063</v>
      </c>
      <c r="L5" s="6">
        <f t="shared" si="0"/>
        <v>0.25787500000000002</v>
      </c>
      <c r="M5" s="5">
        <f t="shared" si="1"/>
        <v>5.7821127273746463E-2</v>
      </c>
    </row>
    <row r="6" spans="1:13" x14ac:dyDescent="0.3">
      <c r="A6" s="15" t="s">
        <v>103</v>
      </c>
      <c r="B6" s="20">
        <f>SUBTOTAL(9,I:I)</f>
        <v>538341</v>
      </c>
      <c r="C6" s="28"/>
      <c r="E6" s="9">
        <v>33438</v>
      </c>
      <c r="F6" s="32" t="s">
        <v>482</v>
      </c>
      <c r="G6" s="9" t="s">
        <v>12</v>
      </c>
      <c r="H6" s="8">
        <v>46303</v>
      </c>
      <c r="I6" s="7">
        <v>10000</v>
      </c>
      <c r="J6" s="7">
        <v>7997</v>
      </c>
      <c r="K6" s="7">
        <v>2003</v>
      </c>
      <c r="L6" s="6">
        <f t="shared" si="0"/>
        <v>0.20030000000000001</v>
      </c>
      <c r="M6" s="5">
        <f t="shared" si="1"/>
        <v>5.6139465792202699E-2</v>
      </c>
    </row>
    <row r="7" spans="1:13" x14ac:dyDescent="0.3">
      <c r="A7" s="15" t="s">
        <v>101</v>
      </c>
      <c r="B7" s="20">
        <f>SUBTOTAL(9,J:J)</f>
        <v>505223</v>
      </c>
      <c r="C7" s="28"/>
      <c r="E7" s="9">
        <v>33178</v>
      </c>
      <c r="F7" s="32" t="s">
        <v>481</v>
      </c>
      <c r="G7" s="9" t="s">
        <v>12</v>
      </c>
      <c r="H7" s="8">
        <v>46301</v>
      </c>
      <c r="I7" s="7">
        <v>15000</v>
      </c>
      <c r="J7" s="7">
        <v>13150</v>
      </c>
      <c r="K7" s="7">
        <v>1850</v>
      </c>
      <c r="L7" s="6">
        <f t="shared" si="0"/>
        <v>0.12333333333333334</v>
      </c>
      <c r="M7" s="5">
        <f t="shared" si="1"/>
        <v>5.1851229014266094E-2</v>
      </c>
    </row>
    <row r="8" spans="1:13" x14ac:dyDescent="0.3">
      <c r="A8" s="15" t="s">
        <v>99</v>
      </c>
      <c r="B8" s="20">
        <f>SUBTOTAL(9,K:K)</f>
        <v>35679</v>
      </c>
      <c r="C8" s="28"/>
      <c r="E8" s="9">
        <v>33176</v>
      </c>
      <c r="F8" s="32" t="s">
        <v>479</v>
      </c>
      <c r="G8" s="9" t="s">
        <v>12</v>
      </c>
      <c r="H8" s="8">
        <v>46302</v>
      </c>
      <c r="I8" s="7">
        <v>12000</v>
      </c>
      <c r="J8" s="7">
        <v>10200</v>
      </c>
      <c r="K8" s="7">
        <v>1800</v>
      </c>
      <c r="L8" s="6">
        <f t="shared" si="0"/>
        <v>0.15</v>
      </c>
      <c r="M8" s="5">
        <f t="shared" si="1"/>
        <v>5.0449844446312959E-2</v>
      </c>
    </row>
    <row r="9" spans="1:13" x14ac:dyDescent="0.3">
      <c r="A9" s="15" t="s">
        <v>98</v>
      </c>
      <c r="B9" s="18">
        <f>B8/B6</f>
        <v>6.6275836319358919E-2</v>
      </c>
      <c r="C9" s="52"/>
      <c r="E9" s="9">
        <v>33369</v>
      </c>
      <c r="F9" s="32" t="s">
        <v>478</v>
      </c>
      <c r="G9" s="9" t="s">
        <v>12</v>
      </c>
      <c r="H9" s="8">
        <v>46304</v>
      </c>
      <c r="I9" s="7">
        <v>14400</v>
      </c>
      <c r="J9" s="7">
        <v>12720</v>
      </c>
      <c r="K9" s="7">
        <v>1680</v>
      </c>
      <c r="L9" s="6">
        <f t="shared" si="0"/>
        <v>0.11666666666666667</v>
      </c>
      <c r="M9" s="5">
        <f t="shared" si="1"/>
        <v>4.7086521483225424E-2</v>
      </c>
    </row>
    <row r="10" spans="1:13" x14ac:dyDescent="0.3">
      <c r="A10" s="15" t="s">
        <v>96</v>
      </c>
      <c r="B10" s="9">
        <f>COUNTIF(L:L,"&gt;=5%")</f>
        <v>24</v>
      </c>
      <c r="E10" s="9">
        <v>33403</v>
      </c>
      <c r="F10" s="32" t="s">
        <v>480</v>
      </c>
      <c r="G10" s="9" t="s">
        <v>348</v>
      </c>
      <c r="H10" s="8">
        <v>46302</v>
      </c>
      <c r="I10" s="7">
        <v>5250</v>
      </c>
      <c r="J10" s="7">
        <v>3693</v>
      </c>
      <c r="K10" s="7">
        <v>1557</v>
      </c>
      <c r="L10" s="6">
        <f t="shared" si="0"/>
        <v>0.2965714285714286</v>
      </c>
      <c r="M10" s="5">
        <f t="shared" si="1"/>
        <v>4.3639115446060708E-2</v>
      </c>
    </row>
    <row r="11" spans="1:13" x14ac:dyDescent="0.3">
      <c r="A11" s="15" t="s">
        <v>95</v>
      </c>
      <c r="B11" s="48">
        <f>B10/B5</f>
        <v>0.36923076923076925</v>
      </c>
      <c r="C11" s="51"/>
      <c r="E11" s="9">
        <v>32884</v>
      </c>
      <c r="F11" s="32" t="s">
        <v>269</v>
      </c>
      <c r="G11" s="9" t="s">
        <v>79</v>
      </c>
      <c r="H11" s="8">
        <v>46301</v>
      </c>
      <c r="I11" s="7">
        <v>11416</v>
      </c>
      <c r="J11" s="7">
        <v>10000</v>
      </c>
      <c r="K11" s="7">
        <v>1416</v>
      </c>
      <c r="L11" s="6">
        <f t="shared" si="0"/>
        <v>0.12403644008409251</v>
      </c>
      <c r="M11" s="5">
        <f t="shared" si="1"/>
        <v>3.9687210964432861E-2</v>
      </c>
    </row>
    <row r="12" spans="1:13" x14ac:dyDescent="0.3">
      <c r="E12" s="9">
        <v>33368</v>
      </c>
      <c r="F12" s="32" t="s">
        <v>478</v>
      </c>
      <c r="G12" s="9" t="s">
        <v>12</v>
      </c>
      <c r="H12" s="8">
        <v>46303</v>
      </c>
      <c r="I12" s="7">
        <v>14400</v>
      </c>
      <c r="J12" s="7">
        <v>13150</v>
      </c>
      <c r="K12" s="7">
        <v>1250</v>
      </c>
      <c r="L12" s="6">
        <f t="shared" si="0"/>
        <v>8.6805555555555552E-2</v>
      </c>
      <c r="M12" s="5">
        <f t="shared" si="1"/>
        <v>3.5034614198828445E-2</v>
      </c>
    </row>
    <row r="13" spans="1:13" x14ac:dyDescent="0.3">
      <c r="E13" s="9">
        <v>33408</v>
      </c>
      <c r="F13" s="32" t="s">
        <v>474</v>
      </c>
      <c r="G13" s="9" t="s">
        <v>313</v>
      </c>
      <c r="H13" s="8">
        <v>46303</v>
      </c>
      <c r="I13" s="7">
        <v>12000</v>
      </c>
      <c r="J13" s="7">
        <v>10850</v>
      </c>
      <c r="K13" s="7">
        <v>1150</v>
      </c>
      <c r="L13" s="6">
        <f t="shared" si="0"/>
        <v>9.583333333333334E-2</v>
      </c>
      <c r="M13" s="5">
        <f t="shared" si="1"/>
        <v>3.2231845062922169E-2</v>
      </c>
    </row>
    <row r="14" spans="1:13" x14ac:dyDescent="0.3">
      <c r="A14" s="26" t="s">
        <v>398</v>
      </c>
      <c r="B14" s="27">
        <f>B8-'[1]05-10'!B8</f>
        <v>-14542</v>
      </c>
      <c r="C14" s="50"/>
      <c r="E14" s="9">
        <v>33334</v>
      </c>
      <c r="F14" s="32" t="s">
        <v>174</v>
      </c>
      <c r="G14" s="9" t="s">
        <v>71</v>
      </c>
      <c r="H14" s="8">
        <v>46303</v>
      </c>
      <c r="I14" s="7">
        <v>18000</v>
      </c>
      <c r="J14" s="7">
        <v>17000</v>
      </c>
      <c r="K14" s="7">
        <v>1000</v>
      </c>
      <c r="L14" s="6">
        <f t="shared" si="0"/>
        <v>5.5555555555555552E-2</v>
      </c>
      <c r="M14" s="5">
        <f t="shared" si="1"/>
        <v>2.8027691359062756E-2</v>
      </c>
    </row>
    <row r="15" spans="1:13" x14ac:dyDescent="0.3">
      <c r="A15" s="26" t="s">
        <v>398</v>
      </c>
      <c r="B15" s="25">
        <f>B9-'[1]05-10'!B9</f>
        <v>6.2747030628702849E-4</v>
      </c>
      <c r="C15" s="49"/>
      <c r="E15" s="9">
        <v>33177</v>
      </c>
      <c r="F15" s="32" t="s">
        <v>479</v>
      </c>
      <c r="G15" s="9" t="s">
        <v>12</v>
      </c>
      <c r="H15" s="8">
        <v>46302</v>
      </c>
      <c r="I15" s="7">
        <v>10000</v>
      </c>
      <c r="J15" s="7">
        <v>9150</v>
      </c>
      <c r="K15" s="7">
        <v>850</v>
      </c>
      <c r="L15" s="6">
        <f t="shared" si="0"/>
        <v>8.5000000000000006E-2</v>
      </c>
      <c r="M15" s="5">
        <f t="shared" si="1"/>
        <v>2.3823537655203342E-2</v>
      </c>
    </row>
    <row r="16" spans="1:13" x14ac:dyDescent="0.3">
      <c r="E16" s="9">
        <v>33234</v>
      </c>
      <c r="F16" s="32" t="s">
        <v>478</v>
      </c>
      <c r="G16" s="9" t="s">
        <v>12</v>
      </c>
      <c r="H16" s="8">
        <v>46303</v>
      </c>
      <c r="I16" s="7">
        <v>14400</v>
      </c>
      <c r="J16" s="7">
        <v>13586</v>
      </c>
      <c r="K16" s="7">
        <v>814</v>
      </c>
      <c r="L16" s="6">
        <f t="shared" si="0"/>
        <v>5.6527777777777781E-2</v>
      </c>
      <c r="M16" s="5">
        <f t="shared" si="1"/>
        <v>2.2814540766277081E-2</v>
      </c>
    </row>
    <row r="17" spans="5:13" x14ac:dyDescent="0.3">
      <c r="E17" s="9">
        <v>33402</v>
      </c>
      <c r="F17" s="32" t="s">
        <v>477</v>
      </c>
      <c r="G17" s="9" t="s">
        <v>22</v>
      </c>
      <c r="H17" s="8">
        <v>46302</v>
      </c>
      <c r="I17" s="20">
        <v>4000</v>
      </c>
      <c r="J17" s="20">
        <v>3200</v>
      </c>
      <c r="K17" s="20">
        <v>800</v>
      </c>
      <c r="L17" s="6">
        <f t="shared" si="0"/>
        <v>0.2</v>
      </c>
      <c r="M17" s="5">
        <f t="shared" si="1"/>
        <v>2.2422153087250204E-2</v>
      </c>
    </row>
    <row r="18" spans="5:13" x14ac:dyDescent="0.3">
      <c r="E18" s="9">
        <v>33471</v>
      </c>
      <c r="F18" s="32" t="s">
        <v>473</v>
      </c>
      <c r="G18" s="9" t="s">
        <v>12</v>
      </c>
      <c r="H18" s="8">
        <v>46302</v>
      </c>
      <c r="I18" s="20">
        <v>6300</v>
      </c>
      <c r="J18" s="20">
        <v>5579</v>
      </c>
      <c r="K18" s="20">
        <v>721</v>
      </c>
      <c r="L18" s="6">
        <f t="shared" si="0"/>
        <v>0.11444444444444445</v>
      </c>
      <c r="M18" s="5">
        <f t="shared" si="1"/>
        <v>2.0207965469884244E-2</v>
      </c>
    </row>
    <row r="19" spans="5:13" x14ac:dyDescent="0.3">
      <c r="E19" s="9">
        <v>33224</v>
      </c>
      <c r="F19" s="32" t="s">
        <v>476</v>
      </c>
      <c r="G19" s="9" t="s">
        <v>206</v>
      </c>
      <c r="H19" s="8">
        <v>46302</v>
      </c>
      <c r="I19" s="7">
        <v>6600</v>
      </c>
      <c r="J19" s="7">
        <v>5896</v>
      </c>
      <c r="K19" s="7">
        <v>704</v>
      </c>
      <c r="L19" s="6">
        <f t="shared" si="0"/>
        <v>0.10666666666666667</v>
      </c>
      <c r="M19" s="5">
        <f t="shared" si="1"/>
        <v>1.9731494716780179E-2</v>
      </c>
    </row>
    <row r="20" spans="5:13" x14ac:dyDescent="0.3">
      <c r="E20" s="9">
        <v>33407</v>
      </c>
      <c r="F20" s="32" t="s">
        <v>475</v>
      </c>
      <c r="G20" s="9" t="s">
        <v>313</v>
      </c>
      <c r="H20" s="8">
        <v>46304</v>
      </c>
      <c r="I20" s="20">
        <v>22000</v>
      </c>
      <c r="J20" s="20">
        <v>21300</v>
      </c>
      <c r="K20" s="20">
        <v>700</v>
      </c>
      <c r="L20" s="6">
        <f t="shared" si="0"/>
        <v>3.1818181818181815E-2</v>
      </c>
      <c r="M20" s="5">
        <f t="shared" si="1"/>
        <v>1.9619383951343928E-2</v>
      </c>
    </row>
    <row r="21" spans="5:13" x14ac:dyDescent="0.3">
      <c r="E21" s="9">
        <v>33314</v>
      </c>
      <c r="F21" s="32" t="s">
        <v>472</v>
      </c>
      <c r="G21" s="9" t="s">
        <v>12</v>
      </c>
      <c r="H21" s="8">
        <v>46302</v>
      </c>
      <c r="I21" s="7">
        <v>8400</v>
      </c>
      <c r="J21" s="7">
        <v>7776</v>
      </c>
      <c r="K21" s="7">
        <v>624</v>
      </c>
      <c r="L21" s="6">
        <f t="shared" si="0"/>
        <v>7.4285714285714288E-2</v>
      </c>
      <c r="M21" s="5">
        <f t="shared" si="1"/>
        <v>1.7489279408055159E-2</v>
      </c>
    </row>
    <row r="22" spans="5:13" x14ac:dyDescent="0.3">
      <c r="E22" s="9">
        <v>33411</v>
      </c>
      <c r="F22" s="32" t="s">
        <v>267</v>
      </c>
      <c r="G22" s="9" t="s">
        <v>2</v>
      </c>
      <c r="H22" s="8">
        <v>46301</v>
      </c>
      <c r="I22" s="7">
        <v>8000</v>
      </c>
      <c r="J22" s="7">
        <v>7488</v>
      </c>
      <c r="K22" s="7">
        <v>512</v>
      </c>
      <c r="L22" s="6">
        <f t="shared" si="0"/>
        <v>6.4000000000000001E-2</v>
      </c>
      <c r="M22" s="5">
        <f t="shared" si="1"/>
        <v>1.435017797584013E-2</v>
      </c>
    </row>
    <row r="23" spans="5:13" x14ac:dyDescent="0.3">
      <c r="E23" s="9">
        <v>33333</v>
      </c>
      <c r="F23" s="32" t="s">
        <v>174</v>
      </c>
      <c r="G23" s="9" t="s">
        <v>71</v>
      </c>
      <c r="H23" s="8">
        <v>46303</v>
      </c>
      <c r="I23" s="7">
        <v>20000</v>
      </c>
      <c r="J23" s="7">
        <v>19500</v>
      </c>
      <c r="K23" s="7">
        <v>500</v>
      </c>
      <c r="L23" s="6">
        <f t="shared" si="0"/>
        <v>2.5000000000000001E-2</v>
      </c>
      <c r="M23" s="5">
        <f t="shared" si="1"/>
        <v>1.4013845679531378E-2</v>
      </c>
    </row>
    <row r="24" spans="5:13" x14ac:dyDescent="0.3">
      <c r="E24" s="9">
        <v>33427</v>
      </c>
      <c r="F24" s="32" t="s">
        <v>474</v>
      </c>
      <c r="G24" s="9" t="s">
        <v>313</v>
      </c>
      <c r="H24" s="8">
        <v>46303</v>
      </c>
      <c r="I24" s="7">
        <v>10000</v>
      </c>
      <c r="J24" s="7">
        <v>9550</v>
      </c>
      <c r="K24" s="7">
        <v>450</v>
      </c>
      <c r="L24" s="6">
        <f t="shared" si="0"/>
        <v>4.4999999999999998E-2</v>
      </c>
      <c r="M24" s="5">
        <f t="shared" si="1"/>
        <v>1.261246111157824E-2</v>
      </c>
    </row>
    <row r="25" spans="5:13" x14ac:dyDescent="0.3">
      <c r="E25" s="9">
        <v>33315</v>
      </c>
      <c r="F25" s="32" t="s">
        <v>472</v>
      </c>
      <c r="G25" s="9" t="s">
        <v>12</v>
      </c>
      <c r="H25" s="8">
        <v>46302</v>
      </c>
      <c r="I25" s="7">
        <v>8400</v>
      </c>
      <c r="J25" s="7">
        <v>7954</v>
      </c>
      <c r="K25" s="7">
        <v>446</v>
      </c>
      <c r="L25" s="6">
        <f t="shared" si="0"/>
        <v>5.3095238095238098E-2</v>
      </c>
      <c r="M25" s="5">
        <f t="shared" si="1"/>
        <v>1.2500350346141989E-2</v>
      </c>
    </row>
    <row r="26" spans="5:13" x14ac:dyDescent="0.3">
      <c r="E26" s="9">
        <v>33469</v>
      </c>
      <c r="F26" s="32" t="s">
        <v>473</v>
      </c>
      <c r="G26" s="9" t="s">
        <v>12</v>
      </c>
      <c r="H26" s="8">
        <v>46302</v>
      </c>
      <c r="I26" s="7">
        <v>8400</v>
      </c>
      <c r="J26" s="7">
        <v>7956</v>
      </c>
      <c r="K26" s="7">
        <v>444</v>
      </c>
      <c r="L26" s="6">
        <f t="shared" si="0"/>
        <v>5.2857142857142859E-2</v>
      </c>
      <c r="M26" s="5">
        <f t="shared" si="1"/>
        <v>1.2444294963423863E-2</v>
      </c>
    </row>
    <row r="27" spans="5:13" x14ac:dyDescent="0.3">
      <c r="E27" s="9">
        <v>33450</v>
      </c>
      <c r="F27" s="32" t="s">
        <v>469</v>
      </c>
      <c r="G27" s="9" t="s">
        <v>14</v>
      </c>
      <c r="H27" s="8">
        <v>46301</v>
      </c>
      <c r="I27" s="7">
        <v>7600</v>
      </c>
      <c r="J27" s="7">
        <v>7201</v>
      </c>
      <c r="K27" s="7">
        <v>399</v>
      </c>
      <c r="L27" s="6">
        <f t="shared" si="0"/>
        <v>5.2499999999999998E-2</v>
      </c>
      <c r="M27" s="5">
        <f t="shared" si="1"/>
        <v>1.1183048852266038E-2</v>
      </c>
    </row>
    <row r="28" spans="5:13" x14ac:dyDescent="0.3">
      <c r="E28" s="9">
        <v>33312</v>
      </c>
      <c r="F28" s="32" t="s">
        <v>472</v>
      </c>
      <c r="G28" s="9" t="s">
        <v>12</v>
      </c>
      <c r="H28" s="8">
        <v>46301</v>
      </c>
      <c r="I28" s="7">
        <v>8400</v>
      </c>
      <c r="J28" s="7">
        <v>8002</v>
      </c>
      <c r="K28" s="7">
        <v>398</v>
      </c>
      <c r="L28" s="6">
        <f t="shared" si="0"/>
        <v>4.7380952380952378E-2</v>
      </c>
      <c r="M28" s="5">
        <f t="shared" si="1"/>
        <v>1.1155021160906976E-2</v>
      </c>
    </row>
    <row r="29" spans="5:13" x14ac:dyDescent="0.3">
      <c r="E29" s="9">
        <v>33459</v>
      </c>
      <c r="F29" s="32" t="s">
        <v>385</v>
      </c>
      <c r="G29" s="9" t="s">
        <v>12</v>
      </c>
      <c r="H29" s="8">
        <v>46304</v>
      </c>
      <c r="I29" s="7">
        <v>29375</v>
      </c>
      <c r="J29" s="7">
        <v>29075</v>
      </c>
      <c r="K29" s="7">
        <v>300</v>
      </c>
      <c r="L29" s="6">
        <f t="shared" si="0"/>
        <v>1.0212765957446808E-2</v>
      </c>
      <c r="M29" s="5">
        <f t="shared" si="1"/>
        <v>8.408307407718826E-3</v>
      </c>
    </row>
    <row r="30" spans="5:13" x14ac:dyDescent="0.3">
      <c r="E30" s="9">
        <v>33465</v>
      </c>
      <c r="F30" s="32" t="s">
        <v>455</v>
      </c>
      <c r="G30" s="9" t="s">
        <v>12</v>
      </c>
      <c r="H30" s="8">
        <v>46302</v>
      </c>
      <c r="I30" s="7">
        <v>12000</v>
      </c>
      <c r="J30" s="7">
        <v>11719</v>
      </c>
      <c r="K30" s="7">
        <v>281</v>
      </c>
      <c r="L30" s="6">
        <f t="shared" si="0"/>
        <v>2.3416666666666665E-2</v>
      </c>
      <c r="M30" s="5">
        <f t="shared" si="1"/>
        <v>7.8757812718966338E-3</v>
      </c>
    </row>
    <row r="31" spans="5:13" x14ac:dyDescent="0.3">
      <c r="E31" s="9">
        <v>33313</v>
      </c>
      <c r="F31" s="32" t="s">
        <v>472</v>
      </c>
      <c r="G31" s="9" t="s">
        <v>12</v>
      </c>
      <c r="H31" s="8">
        <v>46301</v>
      </c>
      <c r="I31" s="20">
        <v>8400</v>
      </c>
      <c r="J31" s="20">
        <v>8146</v>
      </c>
      <c r="K31" s="20">
        <v>254</v>
      </c>
      <c r="L31" s="6">
        <f t="shared" si="0"/>
        <v>3.0238095238095238E-2</v>
      </c>
      <c r="M31" s="5">
        <f t="shared" si="1"/>
        <v>7.1190336052019392E-3</v>
      </c>
    </row>
    <row r="32" spans="5:13" x14ac:dyDescent="0.3">
      <c r="E32" s="9">
        <v>33468</v>
      </c>
      <c r="F32" s="32" t="s">
        <v>430</v>
      </c>
      <c r="G32" s="9" t="s">
        <v>12</v>
      </c>
      <c r="H32" s="8">
        <v>46301</v>
      </c>
      <c r="I32" s="7">
        <v>8400</v>
      </c>
      <c r="J32" s="7">
        <v>8190</v>
      </c>
      <c r="K32" s="7">
        <v>210</v>
      </c>
      <c r="L32" s="6">
        <f t="shared" si="0"/>
        <v>2.5000000000000001E-2</v>
      </c>
      <c r="M32" s="5">
        <f t="shared" si="1"/>
        <v>5.885815185403178E-3</v>
      </c>
    </row>
    <row r="33" spans="5:13" x14ac:dyDescent="0.3">
      <c r="E33" s="9">
        <v>33470</v>
      </c>
      <c r="F33" s="32" t="s">
        <v>430</v>
      </c>
      <c r="G33" s="9" t="s">
        <v>12</v>
      </c>
      <c r="H33" s="8">
        <v>46302</v>
      </c>
      <c r="I33" s="20">
        <v>6300</v>
      </c>
      <c r="J33" s="20">
        <v>6095</v>
      </c>
      <c r="K33" s="20">
        <v>205</v>
      </c>
      <c r="L33" s="6">
        <f t="shared" si="0"/>
        <v>3.2539682539682542E-2</v>
      </c>
      <c r="M33" s="5">
        <f t="shared" si="1"/>
        <v>5.7456767286078649E-3</v>
      </c>
    </row>
    <row r="34" spans="5:13" x14ac:dyDescent="0.3">
      <c r="E34" s="9">
        <v>33505</v>
      </c>
      <c r="F34" s="32" t="s">
        <v>471</v>
      </c>
      <c r="G34" s="9" t="s">
        <v>71</v>
      </c>
      <c r="H34" s="8">
        <v>46304</v>
      </c>
      <c r="I34" s="20">
        <v>4000</v>
      </c>
      <c r="J34" s="20">
        <v>3818</v>
      </c>
      <c r="K34" s="20">
        <v>182</v>
      </c>
      <c r="L34" s="6">
        <f t="shared" ref="L34:L65" si="2">K34/I34</f>
        <v>4.5499999999999999E-2</v>
      </c>
      <c r="M34" s="5">
        <f t="shared" ref="M34:M66" si="3">K34/$B$8</f>
        <v>5.1010398273494215E-3</v>
      </c>
    </row>
    <row r="35" spans="5:13" x14ac:dyDescent="0.3">
      <c r="E35" s="9">
        <v>33410</v>
      </c>
      <c r="F35" s="32" t="s">
        <v>324</v>
      </c>
      <c r="G35" s="9" t="s">
        <v>2</v>
      </c>
      <c r="H35" s="8">
        <v>46303</v>
      </c>
      <c r="I35" s="7">
        <v>6000</v>
      </c>
      <c r="J35" s="7">
        <v>5821</v>
      </c>
      <c r="K35" s="7">
        <v>179</v>
      </c>
      <c r="L35" s="6">
        <f t="shared" si="2"/>
        <v>2.9833333333333333E-2</v>
      </c>
      <c r="M35" s="5">
        <f t="shared" si="3"/>
        <v>5.0169567532722332E-3</v>
      </c>
    </row>
    <row r="36" spans="5:13" x14ac:dyDescent="0.3">
      <c r="E36" s="9">
        <v>33504</v>
      </c>
      <c r="F36" s="32" t="s">
        <v>471</v>
      </c>
      <c r="G36" s="9" t="s">
        <v>71</v>
      </c>
      <c r="H36" s="8">
        <v>46304</v>
      </c>
      <c r="I36" s="7">
        <v>4000</v>
      </c>
      <c r="J36" s="7">
        <v>3839</v>
      </c>
      <c r="K36" s="7">
        <v>161</v>
      </c>
      <c r="L36" s="6">
        <f t="shared" si="2"/>
        <v>4.0250000000000001E-2</v>
      </c>
      <c r="M36" s="5">
        <f t="shared" si="3"/>
        <v>4.5124583088091037E-3</v>
      </c>
    </row>
    <row r="37" spans="5:13" x14ac:dyDescent="0.3">
      <c r="E37" s="9">
        <v>33454</v>
      </c>
      <c r="F37" s="32" t="s">
        <v>455</v>
      </c>
      <c r="G37" s="9" t="s">
        <v>12</v>
      </c>
      <c r="H37" s="8">
        <v>46300</v>
      </c>
      <c r="I37" s="7">
        <v>8000</v>
      </c>
      <c r="J37" s="7">
        <v>7849</v>
      </c>
      <c r="K37" s="7">
        <v>151</v>
      </c>
      <c r="L37" s="6">
        <f t="shared" si="2"/>
        <v>1.8874999999999999E-2</v>
      </c>
      <c r="M37" s="5">
        <f t="shared" si="3"/>
        <v>4.2321813952184758E-3</v>
      </c>
    </row>
    <row r="38" spans="5:13" x14ac:dyDescent="0.3">
      <c r="E38" s="9">
        <v>33456</v>
      </c>
      <c r="F38" s="32" t="s">
        <v>470</v>
      </c>
      <c r="G38" s="9" t="s">
        <v>12</v>
      </c>
      <c r="H38" s="8">
        <v>46303</v>
      </c>
      <c r="I38" s="7">
        <v>6000</v>
      </c>
      <c r="J38" s="7">
        <v>5849</v>
      </c>
      <c r="K38" s="7">
        <v>151</v>
      </c>
      <c r="L38" s="6">
        <f t="shared" si="2"/>
        <v>2.5166666666666667E-2</v>
      </c>
      <c r="M38" s="5">
        <f t="shared" si="3"/>
        <v>4.2321813952184758E-3</v>
      </c>
    </row>
    <row r="39" spans="5:13" x14ac:dyDescent="0.3">
      <c r="E39" s="9">
        <v>33451</v>
      </c>
      <c r="F39" s="32" t="s">
        <v>469</v>
      </c>
      <c r="G39" s="9" t="s">
        <v>14</v>
      </c>
      <c r="H39" s="8">
        <v>46301</v>
      </c>
      <c r="I39" s="20">
        <v>7600</v>
      </c>
      <c r="J39" s="20">
        <v>7456</v>
      </c>
      <c r="K39" s="20">
        <v>144</v>
      </c>
      <c r="L39" s="6">
        <f t="shared" si="2"/>
        <v>1.8947368421052633E-2</v>
      </c>
      <c r="M39" s="5">
        <f t="shared" si="3"/>
        <v>4.0359875557050362E-3</v>
      </c>
    </row>
    <row r="40" spans="5:13" x14ac:dyDescent="0.3">
      <c r="E40" s="9">
        <v>33452</v>
      </c>
      <c r="F40" s="32" t="s">
        <v>469</v>
      </c>
      <c r="G40" s="9" t="s">
        <v>14</v>
      </c>
      <c r="H40" s="8">
        <v>46301</v>
      </c>
      <c r="I40" s="7">
        <v>9500</v>
      </c>
      <c r="J40" s="7">
        <v>9364</v>
      </c>
      <c r="K40" s="7">
        <v>136</v>
      </c>
      <c r="L40" s="6">
        <f t="shared" si="2"/>
        <v>1.4315789473684211E-2</v>
      </c>
      <c r="M40" s="5">
        <f t="shared" si="3"/>
        <v>3.8117660248325348E-3</v>
      </c>
    </row>
    <row r="41" spans="5:13" x14ac:dyDescent="0.3">
      <c r="E41" s="9">
        <v>33472</v>
      </c>
      <c r="F41" s="32" t="s">
        <v>468</v>
      </c>
      <c r="G41" s="9" t="s">
        <v>24</v>
      </c>
      <c r="H41" s="8">
        <v>46301</v>
      </c>
      <c r="I41" s="7">
        <v>1800</v>
      </c>
      <c r="J41" s="7">
        <v>1673</v>
      </c>
      <c r="K41" s="7">
        <v>127</v>
      </c>
      <c r="L41" s="6">
        <f t="shared" si="2"/>
        <v>7.0555555555555552E-2</v>
      </c>
      <c r="M41" s="5">
        <f t="shared" si="3"/>
        <v>3.5595168026009696E-3</v>
      </c>
    </row>
    <row r="42" spans="5:13" x14ac:dyDescent="0.3">
      <c r="E42" s="9">
        <v>33428</v>
      </c>
      <c r="F42" s="9" t="s">
        <v>467</v>
      </c>
      <c r="G42" s="9" t="s">
        <v>421</v>
      </c>
      <c r="H42" s="8">
        <v>46300</v>
      </c>
      <c r="I42" s="20">
        <v>5400</v>
      </c>
      <c r="J42" s="20">
        <v>5274</v>
      </c>
      <c r="K42" s="20">
        <v>126</v>
      </c>
      <c r="L42" s="6">
        <f t="shared" si="2"/>
        <v>2.3333333333333334E-2</v>
      </c>
      <c r="M42" s="5">
        <f t="shared" si="3"/>
        <v>3.5314891112419068E-3</v>
      </c>
    </row>
    <row r="43" spans="5:13" x14ac:dyDescent="0.3">
      <c r="E43" s="9">
        <v>33445</v>
      </c>
      <c r="F43" s="9" t="s">
        <v>466</v>
      </c>
      <c r="G43" s="9" t="s">
        <v>465</v>
      </c>
      <c r="H43" s="8">
        <v>46304</v>
      </c>
      <c r="I43" s="7">
        <v>5600</v>
      </c>
      <c r="J43" s="7">
        <v>5490</v>
      </c>
      <c r="K43" s="7">
        <v>110</v>
      </c>
      <c r="L43" s="6">
        <f t="shared" si="2"/>
        <v>1.9642857142857142E-2</v>
      </c>
      <c r="M43" s="5">
        <f t="shared" si="3"/>
        <v>3.083046049496903E-3</v>
      </c>
    </row>
    <row r="44" spans="5:13" x14ac:dyDescent="0.3">
      <c r="E44" s="9">
        <v>33246</v>
      </c>
      <c r="F44" s="9" t="s">
        <v>211</v>
      </c>
      <c r="G44" s="9" t="s">
        <v>28</v>
      </c>
      <c r="H44" s="8">
        <v>46300</v>
      </c>
      <c r="I44" s="20">
        <v>12600</v>
      </c>
      <c r="J44" s="20">
        <v>12497</v>
      </c>
      <c r="K44" s="20">
        <v>103</v>
      </c>
      <c r="L44" s="6">
        <f t="shared" si="2"/>
        <v>8.1746031746031747E-3</v>
      </c>
      <c r="M44" s="5">
        <f t="shared" si="3"/>
        <v>2.8868522099834639E-3</v>
      </c>
    </row>
    <row r="45" spans="5:13" x14ac:dyDescent="0.3">
      <c r="E45" s="9">
        <v>33480</v>
      </c>
      <c r="F45" s="9" t="s">
        <v>430</v>
      </c>
      <c r="G45" s="9" t="s">
        <v>12</v>
      </c>
      <c r="H45" s="8">
        <v>46302</v>
      </c>
      <c r="I45" s="7">
        <v>2100</v>
      </c>
      <c r="J45" s="7">
        <v>2004</v>
      </c>
      <c r="K45" s="7">
        <v>96</v>
      </c>
      <c r="L45" s="6">
        <f t="shared" si="2"/>
        <v>4.5714285714285714E-2</v>
      </c>
      <c r="M45" s="5">
        <f t="shared" si="3"/>
        <v>2.6906583704700243E-3</v>
      </c>
    </row>
    <row r="46" spans="5:13" x14ac:dyDescent="0.3">
      <c r="E46" s="9">
        <v>33430</v>
      </c>
      <c r="F46" s="9" t="s">
        <v>464</v>
      </c>
      <c r="G46" s="9" t="s">
        <v>461</v>
      </c>
      <c r="H46" s="8">
        <v>46301</v>
      </c>
      <c r="I46" s="7">
        <v>5400</v>
      </c>
      <c r="J46" s="7">
        <v>5320</v>
      </c>
      <c r="K46" s="7">
        <v>80</v>
      </c>
      <c r="L46" s="6">
        <f t="shared" si="2"/>
        <v>1.4814814814814815E-2</v>
      </c>
      <c r="M46" s="5">
        <f t="shared" si="3"/>
        <v>2.2422153087250205E-3</v>
      </c>
    </row>
    <row r="47" spans="5:13" x14ac:dyDescent="0.3">
      <c r="E47" s="9">
        <v>33474</v>
      </c>
      <c r="F47" s="9" t="s">
        <v>463</v>
      </c>
      <c r="G47" s="9" t="s">
        <v>24</v>
      </c>
      <c r="H47" s="8">
        <v>46302</v>
      </c>
      <c r="I47" s="7">
        <v>1800</v>
      </c>
      <c r="J47" s="7">
        <v>1725</v>
      </c>
      <c r="K47" s="7">
        <v>75</v>
      </c>
      <c r="L47" s="6">
        <f t="shared" si="2"/>
        <v>4.1666666666666664E-2</v>
      </c>
      <c r="M47" s="5">
        <f t="shared" si="3"/>
        <v>2.1020768519297065E-3</v>
      </c>
    </row>
    <row r="48" spans="5:13" x14ac:dyDescent="0.3">
      <c r="E48" s="9">
        <v>33477</v>
      </c>
      <c r="F48" s="9" t="s">
        <v>411</v>
      </c>
      <c r="G48" s="9" t="s">
        <v>410</v>
      </c>
      <c r="H48" s="8">
        <v>46303</v>
      </c>
      <c r="I48" s="7">
        <v>1600</v>
      </c>
      <c r="J48" s="7">
        <v>1526</v>
      </c>
      <c r="K48" s="7">
        <v>74</v>
      </c>
      <c r="L48" s="6">
        <f t="shared" si="2"/>
        <v>4.6249999999999999E-2</v>
      </c>
      <c r="M48" s="5">
        <f t="shared" si="3"/>
        <v>2.0740491605706437E-3</v>
      </c>
    </row>
    <row r="49" spans="5:13" x14ac:dyDescent="0.3">
      <c r="E49" s="9">
        <v>33493</v>
      </c>
      <c r="F49" s="9" t="s">
        <v>427</v>
      </c>
      <c r="G49" s="9" t="s">
        <v>30</v>
      </c>
      <c r="H49" s="8">
        <v>46304</v>
      </c>
      <c r="I49" s="7">
        <v>5500</v>
      </c>
      <c r="J49" s="7">
        <v>5449</v>
      </c>
      <c r="K49" s="7">
        <v>51</v>
      </c>
      <c r="L49" s="6">
        <f t="shared" si="2"/>
        <v>9.2727272727272728E-3</v>
      </c>
      <c r="M49" s="5">
        <f t="shared" si="3"/>
        <v>1.4294122593122005E-3</v>
      </c>
    </row>
    <row r="50" spans="5:13" x14ac:dyDescent="0.3">
      <c r="E50" s="9">
        <v>33431</v>
      </c>
      <c r="F50" s="9" t="s">
        <v>462</v>
      </c>
      <c r="G50" s="9" t="s">
        <v>461</v>
      </c>
      <c r="H50" s="8">
        <v>46302</v>
      </c>
      <c r="I50" s="7">
        <v>5400</v>
      </c>
      <c r="J50" s="7">
        <v>5353</v>
      </c>
      <c r="K50" s="7">
        <v>47</v>
      </c>
      <c r="L50" s="6">
        <f t="shared" si="2"/>
        <v>8.7037037037037031E-3</v>
      </c>
      <c r="M50" s="5">
        <f t="shared" si="3"/>
        <v>1.3173014938759494E-3</v>
      </c>
    </row>
    <row r="51" spans="5:13" x14ac:dyDescent="0.3">
      <c r="E51" s="9">
        <v>33464</v>
      </c>
      <c r="F51" s="9" t="s">
        <v>455</v>
      </c>
      <c r="G51" s="9" t="s">
        <v>12</v>
      </c>
      <c r="H51" s="8">
        <v>46301</v>
      </c>
      <c r="I51" s="20">
        <v>12000</v>
      </c>
      <c r="J51" s="20">
        <v>11957</v>
      </c>
      <c r="K51" s="20">
        <v>43</v>
      </c>
      <c r="L51" s="6">
        <f t="shared" si="2"/>
        <v>3.5833333333333333E-3</v>
      </c>
      <c r="M51" s="5">
        <f t="shared" si="3"/>
        <v>1.2051907284396984E-3</v>
      </c>
    </row>
    <row r="52" spans="5:13" x14ac:dyDescent="0.3">
      <c r="E52" s="9">
        <v>33354</v>
      </c>
      <c r="F52" s="9" t="s">
        <v>190</v>
      </c>
      <c r="G52" s="9" t="s">
        <v>2</v>
      </c>
      <c r="H52" s="8">
        <v>46304</v>
      </c>
      <c r="I52" s="20">
        <v>10800</v>
      </c>
      <c r="J52" s="20">
        <v>10760</v>
      </c>
      <c r="K52" s="20">
        <v>40</v>
      </c>
      <c r="L52" s="6">
        <f t="shared" si="2"/>
        <v>3.7037037037037038E-3</v>
      </c>
      <c r="M52" s="5">
        <f t="shared" si="3"/>
        <v>1.1211076543625102E-3</v>
      </c>
    </row>
    <row r="53" spans="5:13" x14ac:dyDescent="0.3">
      <c r="E53" s="9">
        <v>33476</v>
      </c>
      <c r="F53" s="9" t="s">
        <v>331</v>
      </c>
      <c r="G53" s="9" t="s">
        <v>36</v>
      </c>
      <c r="H53" s="8">
        <v>46303</v>
      </c>
      <c r="I53" s="20">
        <v>1800</v>
      </c>
      <c r="J53" s="20">
        <v>1762</v>
      </c>
      <c r="K53" s="20">
        <v>38</v>
      </c>
      <c r="L53" s="6">
        <f t="shared" si="2"/>
        <v>2.1111111111111112E-2</v>
      </c>
      <c r="M53" s="5">
        <f t="shared" si="3"/>
        <v>1.0650522716443846E-3</v>
      </c>
    </row>
    <row r="54" spans="5:13" x14ac:dyDescent="0.3">
      <c r="E54" s="9">
        <v>33473</v>
      </c>
      <c r="F54" s="9" t="s">
        <v>460</v>
      </c>
      <c r="G54" s="9" t="s">
        <v>24</v>
      </c>
      <c r="H54" s="8">
        <v>46301</v>
      </c>
      <c r="I54" s="20">
        <v>1200</v>
      </c>
      <c r="J54" s="20">
        <v>1180</v>
      </c>
      <c r="K54" s="20">
        <v>20</v>
      </c>
      <c r="L54" s="6">
        <f t="shared" si="2"/>
        <v>1.6666666666666666E-2</v>
      </c>
      <c r="M54" s="5">
        <f t="shared" si="3"/>
        <v>5.6055382718125512E-4</v>
      </c>
    </row>
    <row r="55" spans="5:13" x14ac:dyDescent="0.3">
      <c r="E55" s="9">
        <v>33467</v>
      </c>
      <c r="F55" s="9" t="s">
        <v>459</v>
      </c>
      <c r="G55" s="9" t="s">
        <v>12</v>
      </c>
      <c r="H55" s="8">
        <v>46302</v>
      </c>
      <c r="I55" s="20">
        <v>4200</v>
      </c>
      <c r="J55" s="20">
        <v>4186</v>
      </c>
      <c r="K55" s="20">
        <v>14</v>
      </c>
      <c r="L55" s="6">
        <f t="shared" si="2"/>
        <v>3.3333333333333335E-3</v>
      </c>
      <c r="M55" s="5">
        <f t="shared" si="3"/>
        <v>3.9238767902687857E-4</v>
      </c>
    </row>
    <row r="56" spans="5:13" x14ac:dyDescent="0.3">
      <c r="E56" s="9">
        <v>33478</v>
      </c>
      <c r="F56" s="9" t="s">
        <v>458</v>
      </c>
      <c r="G56" s="9" t="s">
        <v>410</v>
      </c>
      <c r="H56" s="8">
        <v>46303</v>
      </c>
      <c r="I56" s="20">
        <v>600</v>
      </c>
      <c r="J56" s="20">
        <v>590</v>
      </c>
      <c r="K56" s="20">
        <v>10</v>
      </c>
      <c r="L56" s="6">
        <f t="shared" si="2"/>
        <v>1.6666666666666666E-2</v>
      </c>
      <c r="M56" s="5">
        <f t="shared" si="3"/>
        <v>2.8027691359062756E-4</v>
      </c>
    </row>
    <row r="57" spans="5:13" x14ac:dyDescent="0.3">
      <c r="E57" s="9">
        <v>33306</v>
      </c>
      <c r="F57" s="9" t="s">
        <v>299</v>
      </c>
      <c r="G57" s="9" t="s">
        <v>79</v>
      </c>
      <c r="H57" s="8">
        <v>46300</v>
      </c>
      <c r="I57" s="20">
        <v>3600</v>
      </c>
      <c r="J57" s="20">
        <v>3600</v>
      </c>
      <c r="K57" s="20">
        <v>0</v>
      </c>
      <c r="L57" s="6">
        <f t="shared" si="2"/>
        <v>0</v>
      </c>
      <c r="M57" s="5">
        <f t="shared" si="3"/>
        <v>0</v>
      </c>
    </row>
    <row r="58" spans="5:13" x14ac:dyDescent="0.3">
      <c r="E58" s="9">
        <v>33360</v>
      </c>
      <c r="F58" s="9" t="s">
        <v>457</v>
      </c>
      <c r="G58" s="9" t="s">
        <v>456</v>
      </c>
      <c r="H58" s="8">
        <v>46301</v>
      </c>
      <c r="I58" s="20">
        <v>4800</v>
      </c>
      <c r="J58" s="20">
        <v>4800</v>
      </c>
      <c r="K58" s="20">
        <v>0</v>
      </c>
      <c r="L58" s="6">
        <f t="shared" si="2"/>
        <v>0</v>
      </c>
      <c r="M58" s="5">
        <f t="shared" si="3"/>
        <v>0</v>
      </c>
    </row>
    <row r="59" spans="5:13" x14ac:dyDescent="0.3">
      <c r="E59" s="9">
        <v>33453</v>
      </c>
      <c r="F59" s="9" t="s">
        <v>455</v>
      </c>
      <c r="G59" s="9" t="s">
        <v>12</v>
      </c>
      <c r="H59" s="8">
        <v>46300</v>
      </c>
      <c r="I59" s="20">
        <v>8000</v>
      </c>
      <c r="J59" s="20">
        <v>8174</v>
      </c>
      <c r="K59" s="20">
        <v>0</v>
      </c>
      <c r="L59" s="6">
        <f t="shared" si="2"/>
        <v>0</v>
      </c>
      <c r="M59" s="5">
        <f t="shared" si="3"/>
        <v>0</v>
      </c>
    </row>
    <row r="60" spans="5:13" x14ac:dyDescent="0.3">
      <c r="E60" s="9">
        <v>33455</v>
      </c>
      <c r="F60" s="9" t="s">
        <v>455</v>
      </c>
      <c r="G60" s="9" t="s">
        <v>12</v>
      </c>
      <c r="H60" s="8">
        <v>46301</v>
      </c>
      <c r="I60" s="20">
        <v>8000</v>
      </c>
      <c r="J60" s="20">
        <v>8249</v>
      </c>
      <c r="K60" s="20">
        <v>0</v>
      </c>
      <c r="L60" s="6">
        <f t="shared" si="2"/>
        <v>0</v>
      </c>
      <c r="M60" s="5">
        <f t="shared" si="3"/>
        <v>0</v>
      </c>
    </row>
    <row r="61" spans="5:13" x14ac:dyDescent="0.3">
      <c r="E61" s="9">
        <v>33462</v>
      </c>
      <c r="F61" s="9" t="s">
        <v>306</v>
      </c>
      <c r="G61" s="9" t="s">
        <v>12</v>
      </c>
      <c r="H61" s="8">
        <v>46304</v>
      </c>
      <c r="I61" s="20">
        <v>6000</v>
      </c>
      <c r="J61" s="20">
        <v>6168</v>
      </c>
      <c r="K61" s="20">
        <v>0</v>
      </c>
      <c r="L61" s="6">
        <f t="shared" si="2"/>
        <v>0</v>
      </c>
      <c r="M61" s="5">
        <f t="shared" si="3"/>
        <v>0</v>
      </c>
    </row>
    <row r="62" spans="5:13" x14ac:dyDescent="0.3">
      <c r="E62" s="9">
        <v>33463</v>
      </c>
      <c r="F62" s="9" t="s">
        <v>454</v>
      </c>
      <c r="G62" s="9" t="s">
        <v>12</v>
      </c>
      <c r="H62" s="8">
        <v>46300</v>
      </c>
      <c r="I62" s="20">
        <v>5600</v>
      </c>
      <c r="J62" s="20">
        <v>5644</v>
      </c>
      <c r="K62" s="20">
        <v>0</v>
      </c>
      <c r="L62" s="6">
        <f t="shared" si="2"/>
        <v>0</v>
      </c>
      <c r="M62" s="5">
        <f t="shared" si="3"/>
        <v>0</v>
      </c>
    </row>
    <row r="63" spans="5:13" x14ac:dyDescent="0.3">
      <c r="E63" s="9">
        <v>33487</v>
      </c>
      <c r="F63" s="9" t="s">
        <v>347</v>
      </c>
      <c r="G63" s="9" t="s">
        <v>2</v>
      </c>
      <c r="H63" s="8">
        <v>46303</v>
      </c>
      <c r="I63" s="20">
        <v>1200</v>
      </c>
      <c r="J63" s="20">
        <v>1225</v>
      </c>
      <c r="K63" s="20">
        <v>0</v>
      </c>
      <c r="L63" s="6">
        <f t="shared" si="2"/>
        <v>0</v>
      </c>
      <c r="M63" s="5">
        <f t="shared" si="3"/>
        <v>0</v>
      </c>
    </row>
    <row r="64" spans="5:13" x14ac:dyDescent="0.3">
      <c r="E64" s="9">
        <v>33500</v>
      </c>
      <c r="F64" s="9" t="s">
        <v>453</v>
      </c>
      <c r="G64" s="9" t="s">
        <v>450</v>
      </c>
      <c r="H64" s="8">
        <v>46304</v>
      </c>
      <c r="I64" s="20">
        <v>3600</v>
      </c>
      <c r="J64" s="20">
        <v>3626</v>
      </c>
      <c r="K64" s="20">
        <v>0</v>
      </c>
      <c r="L64" s="6">
        <f t="shared" si="2"/>
        <v>0</v>
      </c>
      <c r="M64" s="5">
        <f t="shared" si="3"/>
        <v>0</v>
      </c>
    </row>
    <row r="65" spans="5:13" x14ac:dyDescent="0.3">
      <c r="E65" s="9">
        <v>33501</v>
      </c>
      <c r="F65" s="9" t="s">
        <v>452</v>
      </c>
      <c r="G65" s="9" t="s">
        <v>450</v>
      </c>
      <c r="H65" s="8">
        <v>46304</v>
      </c>
      <c r="I65" s="20">
        <v>3600</v>
      </c>
      <c r="J65" s="20">
        <v>3652</v>
      </c>
      <c r="K65" s="20">
        <v>0</v>
      </c>
      <c r="L65" s="6">
        <f t="shared" si="2"/>
        <v>0</v>
      </c>
      <c r="M65" s="5">
        <f t="shared" si="3"/>
        <v>0</v>
      </c>
    </row>
    <row r="66" spans="5:13" x14ac:dyDescent="0.3">
      <c r="E66" s="9">
        <v>33502</v>
      </c>
      <c r="F66" s="9" t="s">
        <v>451</v>
      </c>
      <c r="G66" s="9" t="s">
        <v>450</v>
      </c>
      <c r="H66" s="8">
        <v>46304</v>
      </c>
      <c r="I66" s="20">
        <v>1800</v>
      </c>
      <c r="J66" s="20">
        <v>3623</v>
      </c>
      <c r="K66" s="20">
        <v>0</v>
      </c>
      <c r="L66" s="6">
        <f t="shared" ref="L66" si="4">K66/I66</f>
        <v>0</v>
      </c>
      <c r="M66" s="5">
        <f t="shared" si="3"/>
        <v>0</v>
      </c>
    </row>
  </sheetData>
  <autoFilter ref="E1:M1" xr:uid="{ED0A2852-B90F-4E5C-9DCF-FC384D5546E0}">
    <sortState xmlns:xlrd2="http://schemas.microsoft.com/office/spreadsheetml/2017/richdata2" ref="E2:M90">
      <sortCondition descending="1" ref="M1"/>
    </sortState>
  </autoFilter>
  <mergeCells count="1">
    <mergeCell ref="A1:B1"/>
  </mergeCells>
  <conditionalFormatting sqref="E2:E41">
    <cfRule type="duplicateValues" dxfId="2" priority="1"/>
  </conditionalFormatting>
  <pageMargins left="0.7" right="0.7" top="0.75" bottom="0.75" header="0.3" footer="0.3"/>
  <pageSetup paperSize="9" scale="10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51AE-A099-4E07-9D0A-3091521EBD20}">
  <sheetPr>
    <tabColor rgb="FF002060"/>
    <pageSetUpPr fitToPage="1"/>
  </sheetPr>
  <dimension ref="A1:M74"/>
  <sheetViews>
    <sheetView tabSelected="1" zoomScaleNormal="100" workbookViewId="0">
      <selection activeCell="F19" sqref="F19"/>
    </sheetView>
  </sheetViews>
  <sheetFormatPr baseColWidth="10" defaultRowHeight="14.4" x14ac:dyDescent="0.3"/>
  <cols>
    <col min="1" max="1" width="23.21875" bestFit="1" customWidth="1"/>
    <col min="2" max="3" width="10.44140625" customWidth="1"/>
    <col min="4" max="4" width="12.77734375" customWidth="1"/>
    <col min="5" max="5" width="6" bestFit="1" customWidth="1"/>
    <col min="6" max="6" width="78.33203125" bestFit="1" customWidth="1"/>
    <col min="7" max="7" width="32.109375" bestFit="1" customWidth="1"/>
    <col min="8" max="8" width="19.33203125" bestFit="1" customWidth="1"/>
    <col min="9" max="9" width="20.5546875" style="31" bestFit="1" customWidth="1"/>
    <col min="10" max="10" width="23.5546875" style="31" bestFit="1" customWidth="1"/>
    <col min="11" max="11" width="13.44140625" style="31" bestFit="1" customWidth="1"/>
    <col min="12" max="12" width="11.6640625" bestFit="1" customWidth="1"/>
    <col min="13" max="13" width="23.21875" bestFit="1" customWidth="1"/>
  </cols>
  <sheetData>
    <row r="1" spans="1:13" x14ac:dyDescent="0.3">
      <c r="A1" s="55" t="s">
        <v>119</v>
      </c>
      <c r="B1" s="55"/>
      <c r="C1" s="54"/>
      <c r="E1" s="23" t="s">
        <v>118</v>
      </c>
      <c r="F1" s="42" t="s">
        <v>117</v>
      </c>
      <c r="G1" s="23" t="s">
        <v>116</v>
      </c>
      <c r="H1" s="47" t="s">
        <v>115</v>
      </c>
      <c r="I1" s="30" t="s">
        <v>114</v>
      </c>
      <c r="J1" s="30" t="s">
        <v>113</v>
      </c>
      <c r="K1" s="30" t="s">
        <v>112</v>
      </c>
      <c r="L1" s="53" t="s">
        <v>111</v>
      </c>
      <c r="M1" s="23" t="s">
        <v>110</v>
      </c>
    </row>
    <row r="2" spans="1:13" x14ac:dyDescent="0.3">
      <c r="A2" s="15" t="s">
        <v>109</v>
      </c>
      <c r="B2" s="8">
        <v>46305</v>
      </c>
      <c r="C2" s="4"/>
      <c r="E2" s="9">
        <v>32478</v>
      </c>
      <c r="F2" s="32" t="s">
        <v>97</v>
      </c>
      <c r="G2" s="9" t="s">
        <v>12</v>
      </c>
      <c r="H2" s="8">
        <v>46311</v>
      </c>
      <c r="I2" s="7">
        <v>20000</v>
      </c>
      <c r="J2" s="7">
        <v>16125</v>
      </c>
      <c r="K2" s="7">
        <v>3875</v>
      </c>
      <c r="L2" s="6">
        <f t="shared" ref="L2:L33" si="0">K2/I2</f>
        <v>0.19375000000000001</v>
      </c>
      <c r="M2" s="5">
        <f t="shared" ref="M2:M33" si="1">K2/$B$8</f>
        <v>0.10874140592114494</v>
      </c>
    </row>
    <row r="3" spans="1:13" x14ac:dyDescent="0.3">
      <c r="A3" s="15" t="s">
        <v>107</v>
      </c>
      <c r="B3" s="8">
        <v>46311</v>
      </c>
      <c r="C3" s="4"/>
      <c r="E3" s="9">
        <v>32473</v>
      </c>
      <c r="F3" s="32" t="s">
        <v>97</v>
      </c>
      <c r="G3" s="9" t="s">
        <v>12</v>
      </c>
      <c r="H3" s="8">
        <v>46311</v>
      </c>
      <c r="I3" s="7">
        <v>24000</v>
      </c>
      <c r="J3" s="7">
        <v>21050</v>
      </c>
      <c r="K3" s="7">
        <v>2950</v>
      </c>
      <c r="L3" s="6">
        <f t="shared" si="0"/>
        <v>0.12291666666666666</v>
      </c>
      <c r="M3" s="5">
        <f t="shared" si="1"/>
        <v>8.2783779991581305E-2</v>
      </c>
    </row>
    <row r="4" spans="1:13" x14ac:dyDescent="0.3">
      <c r="E4" s="9">
        <v>32782</v>
      </c>
      <c r="F4" s="32" t="s">
        <v>293</v>
      </c>
      <c r="G4" s="9" t="s">
        <v>12</v>
      </c>
      <c r="H4" s="8">
        <v>46308</v>
      </c>
      <c r="I4" s="7">
        <v>20000</v>
      </c>
      <c r="J4" s="7">
        <v>17625</v>
      </c>
      <c r="K4" s="7">
        <v>2375</v>
      </c>
      <c r="L4" s="6">
        <f t="shared" si="0"/>
        <v>0.11874999999999999</v>
      </c>
      <c r="M4" s="5">
        <f t="shared" si="1"/>
        <v>6.6647958467798515E-2</v>
      </c>
    </row>
    <row r="5" spans="1:13" x14ac:dyDescent="0.3">
      <c r="A5" s="15" t="s">
        <v>105</v>
      </c>
      <c r="B5" s="9">
        <f>SUBTOTAL(3,E2:E1048576)</f>
        <v>73</v>
      </c>
      <c r="E5" s="9">
        <v>33374</v>
      </c>
      <c r="F5" s="32" t="s">
        <v>515</v>
      </c>
      <c r="G5" s="9" t="s">
        <v>12</v>
      </c>
      <c r="H5" s="8">
        <v>46311</v>
      </c>
      <c r="I5" s="7">
        <v>22000</v>
      </c>
      <c r="J5" s="7">
        <v>19725</v>
      </c>
      <c r="K5" s="7">
        <v>2275</v>
      </c>
      <c r="L5" s="6">
        <f t="shared" si="0"/>
        <v>0.10340909090909091</v>
      </c>
      <c r="M5" s="5">
        <f t="shared" si="1"/>
        <v>6.3841728637575423E-2</v>
      </c>
    </row>
    <row r="6" spans="1:13" x14ac:dyDescent="0.3">
      <c r="A6" s="15" t="s">
        <v>103</v>
      </c>
      <c r="B6" s="20">
        <f>SUBTOTAL(9,I:I)</f>
        <v>594386</v>
      </c>
      <c r="C6" s="28"/>
      <c r="E6" s="9">
        <v>32472</v>
      </c>
      <c r="F6" s="32" t="s">
        <v>97</v>
      </c>
      <c r="G6" s="9" t="s">
        <v>12</v>
      </c>
      <c r="H6" s="8">
        <v>46311</v>
      </c>
      <c r="I6" s="7">
        <v>24000</v>
      </c>
      <c r="J6" s="7">
        <v>21900</v>
      </c>
      <c r="K6" s="7">
        <v>2100</v>
      </c>
      <c r="L6" s="6">
        <f t="shared" si="0"/>
        <v>8.7499999999999994E-2</v>
      </c>
      <c r="M6" s="5">
        <f t="shared" si="1"/>
        <v>5.8930826434685002E-2</v>
      </c>
    </row>
    <row r="7" spans="1:13" x14ac:dyDescent="0.3">
      <c r="A7" s="15" t="s">
        <v>101</v>
      </c>
      <c r="B7" s="20">
        <f>SUBTOTAL(9,J:J)</f>
        <v>560411</v>
      </c>
      <c r="C7" s="28"/>
      <c r="E7" s="9">
        <v>33362</v>
      </c>
      <c r="F7" s="32" t="s">
        <v>445</v>
      </c>
      <c r="G7" s="9" t="s">
        <v>180</v>
      </c>
      <c r="H7" s="8">
        <v>46310</v>
      </c>
      <c r="I7" s="7">
        <v>16000</v>
      </c>
      <c r="J7" s="7">
        <v>13950</v>
      </c>
      <c r="K7" s="7">
        <v>2050</v>
      </c>
      <c r="L7" s="6">
        <f t="shared" si="0"/>
        <v>0.12812499999999999</v>
      </c>
      <c r="M7" s="5">
        <f t="shared" si="1"/>
        <v>5.7527711519573456E-2</v>
      </c>
    </row>
    <row r="8" spans="1:13" x14ac:dyDescent="0.3">
      <c r="A8" s="15" t="s">
        <v>99</v>
      </c>
      <c r="B8" s="20">
        <f>SUBTOTAL(9,K:K)</f>
        <v>35635</v>
      </c>
      <c r="C8" s="28"/>
      <c r="E8" s="9">
        <v>33486</v>
      </c>
      <c r="F8" s="32" t="s">
        <v>514</v>
      </c>
      <c r="G8" s="9" t="s">
        <v>12</v>
      </c>
      <c r="H8" s="8">
        <v>46310</v>
      </c>
      <c r="I8" s="7">
        <v>16200</v>
      </c>
      <c r="J8" s="7">
        <v>14160</v>
      </c>
      <c r="K8" s="7">
        <v>2040</v>
      </c>
      <c r="L8" s="6">
        <f t="shared" si="0"/>
        <v>0.12592592592592591</v>
      </c>
      <c r="M8" s="5">
        <f t="shared" si="1"/>
        <v>5.7247088536551145E-2</v>
      </c>
    </row>
    <row r="9" spans="1:13" x14ac:dyDescent="0.3">
      <c r="A9" s="15" t="s">
        <v>98</v>
      </c>
      <c r="B9" s="18">
        <f>B8/B6</f>
        <v>5.995262337942011E-2</v>
      </c>
      <c r="C9" s="52"/>
      <c r="E9" s="9">
        <v>32780</v>
      </c>
      <c r="F9" s="32" t="s">
        <v>293</v>
      </c>
      <c r="G9" s="9" t="s">
        <v>12</v>
      </c>
      <c r="H9" s="8">
        <v>46308</v>
      </c>
      <c r="I9" s="7">
        <v>20000</v>
      </c>
      <c r="J9" s="7">
        <v>18075</v>
      </c>
      <c r="K9" s="7">
        <v>1925</v>
      </c>
      <c r="L9" s="6">
        <f t="shared" si="0"/>
        <v>9.6250000000000002E-2</v>
      </c>
      <c r="M9" s="5">
        <f t="shared" si="1"/>
        <v>5.4019924231794587E-2</v>
      </c>
    </row>
    <row r="10" spans="1:13" x14ac:dyDescent="0.3">
      <c r="A10" s="15" t="s">
        <v>96</v>
      </c>
      <c r="B10" s="9">
        <f>COUNTIF(L:L,"&gt;=5%")</f>
        <v>22</v>
      </c>
      <c r="E10" s="9">
        <v>32467</v>
      </c>
      <c r="F10" s="32" t="s">
        <v>97</v>
      </c>
      <c r="G10" s="9" t="s">
        <v>12</v>
      </c>
      <c r="H10" s="8">
        <v>46308</v>
      </c>
      <c r="I10" s="7">
        <v>24000</v>
      </c>
      <c r="J10" s="7">
        <v>22100</v>
      </c>
      <c r="K10" s="7">
        <v>1900</v>
      </c>
      <c r="L10" s="6">
        <f t="shared" si="0"/>
        <v>7.9166666666666663E-2</v>
      </c>
      <c r="M10" s="5">
        <f t="shared" si="1"/>
        <v>5.3318366774238811E-2</v>
      </c>
    </row>
    <row r="11" spans="1:13" x14ac:dyDescent="0.3">
      <c r="A11" s="15" t="s">
        <v>95</v>
      </c>
      <c r="B11" s="48">
        <f>B10/B5</f>
        <v>0.30136986301369861</v>
      </c>
      <c r="C11" s="51"/>
      <c r="E11" s="9">
        <v>32463</v>
      </c>
      <c r="F11" s="32" t="s">
        <v>102</v>
      </c>
      <c r="G11" s="9" t="s">
        <v>12</v>
      </c>
      <c r="H11" s="8">
        <v>46311</v>
      </c>
      <c r="I11" s="7">
        <v>20000</v>
      </c>
      <c r="J11" s="7">
        <v>18125</v>
      </c>
      <c r="K11" s="7">
        <v>1875</v>
      </c>
      <c r="L11" s="6">
        <f t="shared" si="0"/>
        <v>9.375E-2</v>
      </c>
      <c r="M11" s="5">
        <f t="shared" si="1"/>
        <v>5.2616809316683034E-2</v>
      </c>
    </row>
    <row r="12" spans="1:13" x14ac:dyDescent="0.3">
      <c r="E12" s="9">
        <v>33235</v>
      </c>
      <c r="F12" s="32" t="s">
        <v>478</v>
      </c>
      <c r="G12" s="9" t="s">
        <v>12</v>
      </c>
      <c r="H12" s="8">
        <v>46309</v>
      </c>
      <c r="I12" s="7">
        <v>13100</v>
      </c>
      <c r="J12" s="7">
        <v>11400</v>
      </c>
      <c r="K12" s="7">
        <v>1700</v>
      </c>
      <c r="L12" s="6">
        <f t="shared" si="0"/>
        <v>0.12977099236641221</v>
      </c>
      <c r="M12" s="5">
        <f t="shared" si="1"/>
        <v>4.770590711379262E-2</v>
      </c>
    </row>
    <row r="13" spans="1:13" x14ac:dyDescent="0.3">
      <c r="E13" s="9">
        <v>33363</v>
      </c>
      <c r="F13" s="32" t="s">
        <v>513</v>
      </c>
      <c r="G13" s="9" t="s">
        <v>180</v>
      </c>
      <c r="H13" s="8">
        <v>46309</v>
      </c>
      <c r="I13" s="7">
        <v>16000</v>
      </c>
      <c r="J13" s="7">
        <v>14700</v>
      </c>
      <c r="K13" s="7">
        <v>1300</v>
      </c>
      <c r="L13" s="6">
        <f t="shared" si="0"/>
        <v>8.1250000000000003E-2</v>
      </c>
      <c r="M13" s="5">
        <f t="shared" si="1"/>
        <v>3.6480987792900238E-2</v>
      </c>
    </row>
    <row r="14" spans="1:13" x14ac:dyDescent="0.3">
      <c r="A14" s="26" t="s">
        <v>512</v>
      </c>
      <c r="B14" s="27">
        <f>B8-'[1]13-10'!B8</f>
        <v>-44</v>
      </c>
      <c r="C14" s="50"/>
      <c r="E14" s="9">
        <v>33233</v>
      </c>
      <c r="F14" s="32" t="s">
        <v>235</v>
      </c>
      <c r="G14" s="9" t="s">
        <v>12</v>
      </c>
      <c r="H14" s="8">
        <v>46310</v>
      </c>
      <c r="I14" s="7">
        <v>10000</v>
      </c>
      <c r="J14" s="7">
        <v>8750</v>
      </c>
      <c r="K14" s="7">
        <v>1250</v>
      </c>
      <c r="L14" s="6">
        <f t="shared" si="0"/>
        <v>0.125</v>
      </c>
      <c r="M14" s="5">
        <f t="shared" si="1"/>
        <v>3.5077872877788692E-2</v>
      </c>
    </row>
    <row r="15" spans="1:13" x14ac:dyDescent="0.3">
      <c r="A15" s="26" t="s">
        <v>512</v>
      </c>
      <c r="B15" s="25">
        <f>B9-'[1]13-10'!B9</f>
        <v>-6.323212939938809E-3</v>
      </c>
      <c r="C15" s="49"/>
      <c r="E15" s="9">
        <v>33361</v>
      </c>
      <c r="F15" s="32" t="s">
        <v>181</v>
      </c>
      <c r="G15" s="9" t="s">
        <v>180</v>
      </c>
      <c r="H15" s="8">
        <v>46310</v>
      </c>
      <c r="I15" s="7">
        <v>18000</v>
      </c>
      <c r="J15" s="7">
        <v>16890</v>
      </c>
      <c r="K15" s="7">
        <v>1110</v>
      </c>
      <c r="L15" s="6">
        <f t="shared" si="0"/>
        <v>6.1666666666666668E-2</v>
      </c>
      <c r="M15" s="5">
        <f t="shared" si="1"/>
        <v>3.1149151115476358E-2</v>
      </c>
    </row>
    <row r="16" spans="1:13" x14ac:dyDescent="0.3">
      <c r="E16" s="9">
        <v>32566</v>
      </c>
      <c r="F16" s="32" t="s">
        <v>172</v>
      </c>
      <c r="G16" s="9" t="s">
        <v>12</v>
      </c>
      <c r="H16" s="8">
        <v>46308</v>
      </c>
      <c r="I16" s="7">
        <v>16000</v>
      </c>
      <c r="J16" s="7">
        <v>14925</v>
      </c>
      <c r="K16" s="7">
        <v>1075</v>
      </c>
      <c r="L16" s="6">
        <f t="shared" si="0"/>
        <v>6.7187499999999997E-2</v>
      </c>
      <c r="M16" s="5">
        <f t="shared" si="1"/>
        <v>3.0166970674898274E-2</v>
      </c>
    </row>
    <row r="17" spans="5:13" x14ac:dyDescent="0.3">
      <c r="E17" s="9">
        <v>33529</v>
      </c>
      <c r="F17" s="32" t="s">
        <v>511</v>
      </c>
      <c r="G17" s="9" t="s">
        <v>79</v>
      </c>
      <c r="H17" s="8">
        <v>46309</v>
      </c>
      <c r="I17" s="20">
        <v>3500</v>
      </c>
      <c r="J17" s="20">
        <v>2664</v>
      </c>
      <c r="K17" s="20">
        <v>836</v>
      </c>
      <c r="L17" s="6">
        <f t="shared" si="0"/>
        <v>0.23885714285714285</v>
      </c>
      <c r="M17" s="5">
        <f t="shared" si="1"/>
        <v>2.3460081380665077E-2</v>
      </c>
    </row>
    <row r="18" spans="5:13" x14ac:dyDescent="0.3">
      <c r="E18" s="9">
        <v>33528</v>
      </c>
      <c r="F18" s="32" t="s">
        <v>511</v>
      </c>
      <c r="G18" s="9" t="s">
        <v>79</v>
      </c>
      <c r="H18" s="8">
        <v>46309</v>
      </c>
      <c r="I18" s="20">
        <v>5250</v>
      </c>
      <c r="J18" s="20">
        <v>4469</v>
      </c>
      <c r="K18" s="20">
        <v>781</v>
      </c>
      <c r="L18" s="6">
        <f t="shared" si="0"/>
        <v>0.14876190476190476</v>
      </c>
      <c r="M18" s="5">
        <f t="shared" si="1"/>
        <v>2.1916654974042375E-2</v>
      </c>
    </row>
    <row r="19" spans="5:13" x14ac:dyDescent="0.3">
      <c r="E19" s="9">
        <v>33516</v>
      </c>
      <c r="F19" s="32" t="s">
        <v>312</v>
      </c>
      <c r="G19" s="9" t="s">
        <v>145</v>
      </c>
      <c r="H19" s="8">
        <v>46308</v>
      </c>
      <c r="I19" s="7">
        <v>3600</v>
      </c>
      <c r="J19" s="7">
        <v>3109</v>
      </c>
      <c r="K19" s="7">
        <v>491</v>
      </c>
      <c r="L19" s="6">
        <f t="shared" si="0"/>
        <v>0.13638888888888889</v>
      </c>
      <c r="M19" s="5">
        <f t="shared" si="1"/>
        <v>1.3778588466395398E-2</v>
      </c>
    </row>
    <row r="20" spans="5:13" x14ac:dyDescent="0.3">
      <c r="E20" s="9">
        <v>33457</v>
      </c>
      <c r="F20" s="32" t="s">
        <v>510</v>
      </c>
      <c r="G20" s="9" t="s">
        <v>12</v>
      </c>
      <c r="H20" s="8">
        <v>46310</v>
      </c>
      <c r="I20" s="20">
        <v>5600</v>
      </c>
      <c r="J20" s="20">
        <v>5195</v>
      </c>
      <c r="K20" s="20">
        <v>405</v>
      </c>
      <c r="L20" s="6">
        <f t="shared" si="0"/>
        <v>7.2321428571428578E-2</v>
      </c>
      <c r="M20" s="5">
        <f t="shared" si="1"/>
        <v>1.1365230812403536E-2</v>
      </c>
    </row>
    <row r="21" spans="5:13" x14ac:dyDescent="0.3">
      <c r="E21" s="9">
        <v>33537</v>
      </c>
      <c r="F21" s="32" t="s">
        <v>382</v>
      </c>
      <c r="G21" s="9" t="s">
        <v>12</v>
      </c>
      <c r="H21" s="8">
        <v>46310</v>
      </c>
      <c r="I21" s="7">
        <v>4623</v>
      </c>
      <c r="J21" s="7">
        <v>4375</v>
      </c>
      <c r="K21" s="7">
        <v>248</v>
      </c>
      <c r="L21" s="6">
        <f t="shared" si="0"/>
        <v>5.3644819381354097E-2</v>
      </c>
      <c r="M21" s="5">
        <f t="shared" si="1"/>
        <v>6.9594499789532764E-3</v>
      </c>
    </row>
    <row r="22" spans="5:13" x14ac:dyDescent="0.3">
      <c r="E22" s="9">
        <v>33512</v>
      </c>
      <c r="F22" s="32" t="s">
        <v>509</v>
      </c>
      <c r="G22" s="9" t="s">
        <v>271</v>
      </c>
      <c r="H22" s="8">
        <v>46309</v>
      </c>
      <c r="I22" s="7">
        <v>6300</v>
      </c>
      <c r="J22" s="7">
        <v>6098</v>
      </c>
      <c r="K22" s="7">
        <v>202</v>
      </c>
      <c r="L22" s="6">
        <f t="shared" si="0"/>
        <v>3.2063492063492065E-2</v>
      </c>
      <c r="M22" s="5">
        <f t="shared" si="1"/>
        <v>5.6685842570506524E-3</v>
      </c>
    </row>
    <row r="23" spans="5:13" x14ac:dyDescent="0.3">
      <c r="E23" s="9">
        <v>33460</v>
      </c>
      <c r="F23" s="32" t="s">
        <v>385</v>
      </c>
      <c r="G23" s="9" t="s">
        <v>12</v>
      </c>
      <c r="H23" s="8">
        <v>46308</v>
      </c>
      <c r="I23" s="7">
        <v>30043</v>
      </c>
      <c r="J23" s="7">
        <v>29850</v>
      </c>
      <c r="K23" s="7">
        <v>193</v>
      </c>
      <c r="L23" s="6">
        <f t="shared" si="0"/>
        <v>6.4241254202310021E-3</v>
      </c>
      <c r="M23" s="5">
        <f t="shared" si="1"/>
        <v>5.4160235723305743E-3</v>
      </c>
    </row>
    <row r="24" spans="5:13" x14ac:dyDescent="0.3">
      <c r="E24" s="9">
        <v>33517</v>
      </c>
      <c r="F24" s="32" t="s">
        <v>508</v>
      </c>
      <c r="G24" s="9" t="s">
        <v>145</v>
      </c>
      <c r="H24" s="8">
        <v>46308</v>
      </c>
      <c r="I24" s="7">
        <v>3600</v>
      </c>
      <c r="J24" s="7">
        <v>3427</v>
      </c>
      <c r="K24" s="7">
        <v>173</v>
      </c>
      <c r="L24" s="6">
        <f t="shared" si="0"/>
        <v>4.8055555555555553E-2</v>
      </c>
      <c r="M24" s="5">
        <f t="shared" si="1"/>
        <v>4.8547776062859548E-3</v>
      </c>
    </row>
    <row r="25" spans="5:13" x14ac:dyDescent="0.3">
      <c r="E25" s="9">
        <v>33551</v>
      </c>
      <c r="F25" s="32" t="s">
        <v>507</v>
      </c>
      <c r="G25" s="9" t="s">
        <v>254</v>
      </c>
      <c r="H25" s="8">
        <v>46311</v>
      </c>
      <c r="I25" s="7">
        <v>4200</v>
      </c>
      <c r="J25" s="7">
        <v>4032</v>
      </c>
      <c r="K25" s="7">
        <v>168</v>
      </c>
      <c r="L25" s="6">
        <f t="shared" si="0"/>
        <v>0.04</v>
      </c>
      <c r="M25" s="5">
        <f t="shared" si="1"/>
        <v>4.7144661147748004E-3</v>
      </c>
    </row>
    <row r="26" spans="5:13" x14ac:dyDescent="0.3">
      <c r="E26" s="9">
        <v>33540</v>
      </c>
      <c r="F26" s="32" t="s">
        <v>501</v>
      </c>
      <c r="G26" s="9" t="s">
        <v>30</v>
      </c>
      <c r="H26" s="8">
        <v>46310</v>
      </c>
      <c r="I26" s="7">
        <v>7600</v>
      </c>
      <c r="J26" s="7">
        <v>7443</v>
      </c>
      <c r="K26" s="7">
        <v>157</v>
      </c>
      <c r="L26" s="6">
        <f t="shared" si="0"/>
        <v>2.0657894736842104E-2</v>
      </c>
      <c r="M26" s="5">
        <f t="shared" si="1"/>
        <v>4.40578083345026E-3</v>
      </c>
    </row>
    <row r="27" spans="5:13" x14ac:dyDescent="0.3">
      <c r="E27" s="9">
        <v>33492</v>
      </c>
      <c r="F27" s="32" t="s">
        <v>469</v>
      </c>
      <c r="G27" s="9" t="s">
        <v>28</v>
      </c>
      <c r="H27" s="8">
        <v>46308</v>
      </c>
      <c r="I27" s="7">
        <v>5400</v>
      </c>
      <c r="J27" s="7">
        <v>5251</v>
      </c>
      <c r="K27" s="7">
        <v>149</v>
      </c>
      <c r="L27" s="6">
        <f t="shared" si="0"/>
        <v>2.7592592592592592E-2</v>
      </c>
      <c r="M27" s="5">
        <f t="shared" si="1"/>
        <v>4.1812824470324117E-3</v>
      </c>
    </row>
    <row r="28" spans="5:13" x14ac:dyDescent="0.3">
      <c r="E28" s="9">
        <v>33519</v>
      </c>
      <c r="F28" s="32" t="s">
        <v>429</v>
      </c>
      <c r="G28" s="9" t="s">
        <v>2</v>
      </c>
      <c r="H28" s="8">
        <v>46308</v>
      </c>
      <c r="I28" s="7">
        <v>4800</v>
      </c>
      <c r="J28" s="7">
        <v>4664</v>
      </c>
      <c r="K28" s="7">
        <v>136</v>
      </c>
      <c r="L28" s="6">
        <f t="shared" si="0"/>
        <v>2.8333333333333332E-2</v>
      </c>
      <c r="M28" s="5">
        <f t="shared" si="1"/>
        <v>3.8164725691034094E-3</v>
      </c>
    </row>
    <row r="29" spans="5:13" x14ac:dyDescent="0.3">
      <c r="E29" s="9">
        <v>33497</v>
      </c>
      <c r="F29" s="32" t="s">
        <v>311</v>
      </c>
      <c r="G29" s="9" t="s">
        <v>12</v>
      </c>
      <c r="H29" s="8">
        <v>46309</v>
      </c>
      <c r="I29" s="7">
        <v>1900</v>
      </c>
      <c r="J29" s="7">
        <v>1776</v>
      </c>
      <c r="K29" s="7">
        <v>124</v>
      </c>
      <c r="L29" s="6">
        <f t="shared" si="0"/>
        <v>6.5263157894736842E-2</v>
      </c>
      <c r="M29" s="5">
        <f t="shared" si="1"/>
        <v>3.4797249894766382E-3</v>
      </c>
    </row>
    <row r="30" spans="5:13" x14ac:dyDescent="0.3">
      <c r="E30" s="9">
        <v>33511</v>
      </c>
      <c r="F30" s="32" t="s">
        <v>506</v>
      </c>
      <c r="G30" s="9" t="s">
        <v>222</v>
      </c>
      <c r="H30" s="8">
        <v>46308</v>
      </c>
      <c r="I30" s="7">
        <v>3600</v>
      </c>
      <c r="J30" s="7">
        <v>3476</v>
      </c>
      <c r="K30" s="7">
        <v>124</v>
      </c>
      <c r="L30" s="6">
        <f t="shared" si="0"/>
        <v>3.4444444444444444E-2</v>
      </c>
      <c r="M30" s="5">
        <f t="shared" si="1"/>
        <v>3.4797249894766382E-3</v>
      </c>
    </row>
    <row r="31" spans="5:13" x14ac:dyDescent="0.3">
      <c r="E31" s="9">
        <v>33495</v>
      </c>
      <c r="F31" s="32" t="s">
        <v>496</v>
      </c>
      <c r="G31" s="9" t="s">
        <v>505</v>
      </c>
      <c r="H31" s="8">
        <v>46308</v>
      </c>
      <c r="I31" s="20">
        <v>2100</v>
      </c>
      <c r="J31" s="20">
        <v>1978</v>
      </c>
      <c r="K31" s="20">
        <v>122</v>
      </c>
      <c r="L31" s="6">
        <f t="shared" si="0"/>
        <v>5.8095238095238096E-2</v>
      </c>
      <c r="M31" s="5">
        <f t="shared" si="1"/>
        <v>3.4236003928721764E-3</v>
      </c>
    </row>
    <row r="32" spans="5:13" x14ac:dyDescent="0.3">
      <c r="E32" s="9">
        <v>33513</v>
      </c>
      <c r="F32" s="32" t="s">
        <v>282</v>
      </c>
      <c r="G32" s="9" t="s">
        <v>271</v>
      </c>
      <c r="H32" s="8">
        <v>46308</v>
      </c>
      <c r="I32" s="7">
        <v>6300</v>
      </c>
      <c r="J32" s="7">
        <v>6184</v>
      </c>
      <c r="K32" s="7">
        <v>116</v>
      </c>
      <c r="L32" s="6">
        <f t="shared" si="0"/>
        <v>1.8412698412698412E-2</v>
      </c>
      <c r="M32" s="5">
        <f t="shared" si="1"/>
        <v>3.2552266030587904E-3</v>
      </c>
    </row>
    <row r="33" spans="5:13" x14ac:dyDescent="0.3">
      <c r="E33" s="9">
        <v>33532</v>
      </c>
      <c r="F33" s="32" t="s">
        <v>504</v>
      </c>
      <c r="G33" s="9" t="s">
        <v>212</v>
      </c>
      <c r="H33" s="8">
        <v>46310</v>
      </c>
      <c r="I33" s="20">
        <v>6300</v>
      </c>
      <c r="J33" s="20">
        <v>6202</v>
      </c>
      <c r="K33" s="20">
        <v>98</v>
      </c>
      <c r="L33" s="6">
        <f t="shared" si="0"/>
        <v>1.5555555555555555E-2</v>
      </c>
      <c r="M33" s="5">
        <f t="shared" si="1"/>
        <v>2.7501052336186332E-3</v>
      </c>
    </row>
    <row r="34" spans="5:13" x14ac:dyDescent="0.3">
      <c r="E34" s="9">
        <v>33510</v>
      </c>
      <c r="F34" s="32" t="s">
        <v>503</v>
      </c>
      <c r="G34" s="9" t="s">
        <v>222</v>
      </c>
      <c r="H34" s="8">
        <v>46308</v>
      </c>
      <c r="I34" s="20">
        <v>1900</v>
      </c>
      <c r="J34" s="20">
        <v>1811</v>
      </c>
      <c r="K34" s="20">
        <v>89</v>
      </c>
      <c r="L34" s="6">
        <f t="shared" ref="L34:L65" si="2">K34/I34</f>
        <v>4.6842105263157893E-2</v>
      </c>
      <c r="M34" s="5">
        <f t="shared" ref="M34:M65" si="3">K34/$B$8</f>
        <v>2.4975445488985546E-3</v>
      </c>
    </row>
    <row r="35" spans="5:13" x14ac:dyDescent="0.3">
      <c r="E35" s="9">
        <v>33491</v>
      </c>
      <c r="F35" s="32" t="s">
        <v>76</v>
      </c>
      <c r="G35" s="9" t="s">
        <v>30</v>
      </c>
      <c r="H35" s="8">
        <v>46309</v>
      </c>
      <c r="I35" s="7">
        <v>4400</v>
      </c>
      <c r="J35" s="7">
        <v>4313</v>
      </c>
      <c r="K35" s="7">
        <v>87</v>
      </c>
      <c r="L35" s="6">
        <f t="shared" si="2"/>
        <v>1.9772727272727272E-2</v>
      </c>
      <c r="M35" s="5">
        <f t="shared" si="3"/>
        <v>2.4414199522940928E-3</v>
      </c>
    </row>
    <row r="36" spans="5:13" x14ac:dyDescent="0.3">
      <c r="E36" s="9">
        <v>33494</v>
      </c>
      <c r="F36" s="32" t="s">
        <v>502</v>
      </c>
      <c r="G36" s="9" t="s">
        <v>26</v>
      </c>
      <c r="H36" s="8">
        <v>46308</v>
      </c>
      <c r="I36" s="7">
        <v>3800</v>
      </c>
      <c r="J36" s="7">
        <v>3713</v>
      </c>
      <c r="K36" s="7">
        <v>87</v>
      </c>
      <c r="L36" s="6">
        <f t="shared" si="2"/>
        <v>2.2894736842105263E-2</v>
      </c>
      <c r="M36" s="5">
        <f t="shared" si="3"/>
        <v>2.4414199522940928E-3</v>
      </c>
    </row>
    <row r="37" spans="5:13" x14ac:dyDescent="0.3">
      <c r="E37" s="9">
        <v>33539</v>
      </c>
      <c r="F37" s="32" t="s">
        <v>501</v>
      </c>
      <c r="G37" s="9" t="s">
        <v>30</v>
      </c>
      <c r="H37" s="8">
        <v>46310</v>
      </c>
      <c r="I37" s="7">
        <v>7600</v>
      </c>
      <c r="J37" s="7">
        <v>7514</v>
      </c>
      <c r="K37" s="7">
        <v>86</v>
      </c>
      <c r="L37" s="6">
        <f t="shared" si="2"/>
        <v>1.1315789473684211E-2</v>
      </c>
      <c r="M37" s="5">
        <f t="shared" si="3"/>
        <v>2.4133576539918621E-3</v>
      </c>
    </row>
    <row r="38" spans="5:13" x14ac:dyDescent="0.3">
      <c r="E38" s="9">
        <v>33536</v>
      </c>
      <c r="F38" s="32" t="s">
        <v>467</v>
      </c>
      <c r="G38" s="9" t="s">
        <v>286</v>
      </c>
      <c r="H38" s="8">
        <v>46310</v>
      </c>
      <c r="I38" s="7">
        <v>3800</v>
      </c>
      <c r="J38" s="7">
        <v>3715</v>
      </c>
      <c r="K38" s="7">
        <v>85</v>
      </c>
      <c r="L38" s="6">
        <f t="shared" si="2"/>
        <v>2.2368421052631579E-2</v>
      </c>
      <c r="M38" s="5">
        <f t="shared" si="3"/>
        <v>2.3852953556896309E-3</v>
      </c>
    </row>
    <row r="39" spans="5:13" x14ac:dyDescent="0.3">
      <c r="E39" s="9">
        <v>33546</v>
      </c>
      <c r="F39" s="32" t="s">
        <v>427</v>
      </c>
      <c r="G39" s="9" t="s">
        <v>30</v>
      </c>
      <c r="H39" s="8">
        <v>46311</v>
      </c>
      <c r="I39" s="20">
        <v>3300</v>
      </c>
      <c r="J39" s="20">
        <v>3218</v>
      </c>
      <c r="K39" s="20">
        <v>82</v>
      </c>
      <c r="L39" s="6">
        <f t="shared" si="2"/>
        <v>2.4848484848484849E-2</v>
      </c>
      <c r="M39" s="5">
        <f t="shared" si="3"/>
        <v>2.3011084607829379E-3</v>
      </c>
    </row>
    <row r="40" spans="5:13" x14ac:dyDescent="0.3">
      <c r="E40" s="9">
        <v>33552</v>
      </c>
      <c r="F40" s="32" t="s">
        <v>500</v>
      </c>
      <c r="G40" s="9" t="s">
        <v>254</v>
      </c>
      <c r="H40" s="8">
        <v>46311</v>
      </c>
      <c r="I40" s="7">
        <v>4200</v>
      </c>
      <c r="J40" s="7">
        <v>4121</v>
      </c>
      <c r="K40" s="7">
        <v>79</v>
      </c>
      <c r="L40" s="6">
        <f t="shared" si="2"/>
        <v>1.8809523809523811E-2</v>
      </c>
      <c r="M40" s="5">
        <f t="shared" si="3"/>
        <v>2.2169215658762453E-3</v>
      </c>
    </row>
    <row r="41" spans="5:13" x14ac:dyDescent="0.3">
      <c r="E41" s="9">
        <v>33509</v>
      </c>
      <c r="F41" s="32" t="s">
        <v>315</v>
      </c>
      <c r="G41" s="9" t="s">
        <v>36</v>
      </c>
      <c r="H41" s="8">
        <v>46308</v>
      </c>
      <c r="I41" s="7">
        <v>3600</v>
      </c>
      <c r="J41" s="7">
        <v>3525</v>
      </c>
      <c r="K41" s="7">
        <v>75</v>
      </c>
      <c r="L41" s="6">
        <f t="shared" si="2"/>
        <v>2.0833333333333332E-2</v>
      </c>
      <c r="M41" s="5">
        <f t="shared" si="3"/>
        <v>2.1046723726673216E-3</v>
      </c>
    </row>
    <row r="42" spans="5:13" x14ac:dyDescent="0.3">
      <c r="E42" s="9">
        <v>33506</v>
      </c>
      <c r="F42" s="9" t="s">
        <v>500</v>
      </c>
      <c r="G42" s="9" t="s">
        <v>45</v>
      </c>
      <c r="H42" s="8">
        <v>46308</v>
      </c>
      <c r="I42" s="20">
        <v>4200</v>
      </c>
      <c r="J42" s="20">
        <v>4126</v>
      </c>
      <c r="K42" s="20">
        <v>74</v>
      </c>
      <c r="L42" s="6">
        <f t="shared" si="2"/>
        <v>1.7619047619047618E-2</v>
      </c>
      <c r="M42" s="5">
        <f t="shared" si="3"/>
        <v>2.0766100743650905E-3</v>
      </c>
    </row>
    <row r="43" spans="5:13" x14ac:dyDescent="0.3">
      <c r="E43" s="9">
        <v>33515</v>
      </c>
      <c r="F43" s="9" t="s">
        <v>469</v>
      </c>
      <c r="G43" s="9" t="s">
        <v>145</v>
      </c>
      <c r="H43" s="8">
        <v>46308</v>
      </c>
      <c r="I43" s="7">
        <v>3600</v>
      </c>
      <c r="J43" s="7">
        <v>3529</v>
      </c>
      <c r="K43" s="7">
        <v>71</v>
      </c>
      <c r="L43" s="6">
        <f t="shared" si="2"/>
        <v>1.9722222222222221E-2</v>
      </c>
      <c r="M43" s="5">
        <f t="shared" si="3"/>
        <v>1.9924231794583975E-3</v>
      </c>
    </row>
    <row r="44" spans="5:13" x14ac:dyDescent="0.3">
      <c r="E44" s="9">
        <v>33405</v>
      </c>
      <c r="F44" s="9" t="s">
        <v>499</v>
      </c>
      <c r="G44" s="9" t="s">
        <v>10</v>
      </c>
      <c r="H44" s="8">
        <v>46310</v>
      </c>
      <c r="I44" s="20">
        <v>15750</v>
      </c>
      <c r="J44" s="20">
        <v>15680</v>
      </c>
      <c r="K44" s="20">
        <v>70</v>
      </c>
      <c r="L44" s="6">
        <f t="shared" si="2"/>
        <v>4.4444444444444444E-3</v>
      </c>
      <c r="M44" s="5">
        <f t="shared" si="3"/>
        <v>1.9643608811561668E-3</v>
      </c>
    </row>
    <row r="45" spans="5:13" x14ac:dyDescent="0.3">
      <c r="E45" s="9">
        <v>33541</v>
      </c>
      <c r="F45" s="9" t="s">
        <v>350</v>
      </c>
      <c r="G45" s="9" t="s">
        <v>2</v>
      </c>
      <c r="H45" s="8">
        <v>46311</v>
      </c>
      <c r="I45" s="7">
        <v>1600</v>
      </c>
      <c r="J45" s="7">
        <v>1540</v>
      </c>
      <c r="K45" s="7">
        <v>60</v>
      </c>
      <c r="L45" s="6">
        <f t="shared" si="2"/>
        <v>3.7499999999999999E-2</v>
      </c>
      <c r="M45" s="5">
        <f t="shared" si="3"/>
        <v>1.6837378981338573E-3</v>
      </c>
    </row>
    <row r="46" spans="5:13" x14ac:dyDescent="0.3">
      <c r="E46" s="9">
        <v>33499</v>
      </c>
      <c r="F46" s="9" t="s">
        <v>430</v>
      </c>
      <c r="G46" s="9" t="s">
        <v>493</v>
      </c>
      <c r="H46" s="8">
        <v>46308</v>
      </c>
      <c r="I46" s="7">
        <v>4200</v>
      </c>
      <c r="J46" s="7">
        <v>4149</v>
      </c>
      <c r="K46" s="7">
        <v>51</v>
      </c>
      <c r="L46" s="6">
        <f t="shared" si="2"/>
        <v>1.2142857142857143E-2</v>
      </c>
      <c r="M46" s="5">
        <f t="shared" si="3"/>
        <v>1.4311772134137787E-3</v>
      </c>
    </row>
    <row r="47" spans="5:13" x14ac:dyDescent="0.3">
      <c r="E47" s="9">
        <v>33523</v>
      </c>
      <c r="F47" s="9" t="s">
        <v>295</v>
      </c>
      <c r="G47" s="9" t="s">
        <v>12</v>
      </c>
      <c r="H47" s="8">
        <v>46308</v>
      </c>
      <c r="I47" s="7">
        <v>7000</v>
      </c>
      <c r="J47" s="7">
        <v>6950</v>
      </c>
      <c r="K47" s="7">
        <v>50</v>
      </c>
      <c r="L47" s="6">
        <f t="shared" si="2"/>
        <v>7.1428571428571426E-3</v>
      </c>
      <c r="M47" s="5">
        <f t="shared" si="3"/>
        <v>1.4031149151115475E-3</v>
      </c>
    </row>
    <row r="48" spans="5:13" x14ac:dyDescent="0.3">
      <c r="E48" s="9">
        <v>33507</v>
      </c>
      <c r="F48" s="9" t="s">
        <v>498</v>
      </c>
      <c r="G48" s="9" t="s">
        <v>145</v>
      </c>
      <c r="H48" s="8">
        <v>46308</v>
      </c>
      <c r="I48" s="7">
        <v>2200</v>
      </c>
      <c r="J48" s="7">
        <v>2156</v>
      </c>
      <c r="K48" s="7">
        <v>44</v>
      </c>
      <c r="L48" s="6">
        <f t="shared" si="2"/>
        <v>0.02</v>
      </c>
      <c r="M48" s="5">
        <f t="shared" si="3"/>
        <v>1.234741125298162E-3</v>
      </c>
    </row>
    <row r="49" spans="5:13" x14ac:dyDescent="0.3">
      <c r="E49" s="9">
        <v>33508</v>
      </c>
      <c r="F49" s="9" t="s">
        <v>497</v>
      </c>
      <c r="G49" s="9" t="s">
        <v>145</v>
      </c>
      <c r="H49" s="8">
        <v>46308</v>
      </c>
      <c r="I49" s="7">
        <v>3300</v>
      </c>
      <c r="J49" s="7">
        <v>3262</v>
      </c>
      <c r="K49" s="7">
        <v>38</v>
      </c>
      <c r="L49" s="6">
        <f t="shared" si="2"/>
        <v>1.1515151515151515E-2</v>
      </c>
      <c r="M49" s="5">
        <f t="shared" si="3"/>
        <v>1.0663673354847762E-3</v>
      </c>
    </row>
    <row r="50" spans="5:13" x14ac:dyDescent="0.3">
      <c r="E50" s="9">
        <v>33489</v>
      </c>
      <c r="F50" s="9" t="s">
        <v>350</v>
      </c>
      <c r="G50" s="9" t="s">
        <v>2</v>
      </c>
      <c r="H50" s="8">
        <v>46308</v>
      </c>
      <c r="I50" s="7">
        <v>1600</v>
      </c>
      <c r="J50" s="7">
        <v>1565</v>
      </c>
      <c r="K50" s="7">
        <v>35</v>
      </c>
      <c r="L50" s="6">
        <f t="shared" si="2"/>
        <v>2.1874999999999999E-2</v>
      </c>
      <c r="M50" s="5">
        <f t="shared" si="3"/>
        <v>9.8218044057808338E-4</v>
      </c>
    </row>
    <row r="51" spans="5:13" x14ac:dyDescent="0.3">
      <c r="E51" s="9">
        <v>33496</v>
      </c>
      <c r="F51" s="9" t="s">
        <v>496</v>
      </c>
      <c r="G51" s="9" t="s">
        <v>495</v>
      </c>
      <c r="H51" s="8">
        <v>46308</v>
      </c>
      <c r="I51" s="20">
        <v>2100</v>
      </c>
      <c r="J51" s="20">
        <v>2066</v>
      </c>
      <c r="K51" s="20">
        <v>34</v>
      </c>
      <c r="L51" s="6">
        <f t="shared" si="2"/>
        <v>1.6190476190476189E-2</v>
      </c>
      <c r="M51" s="5">
        <f t="shared" si="3"/>
        <v>9.5411814227585234E-4</v>
      </c>
    </row>
    <row r="52" spans="5:13" x14ac:dyDescent="0.3">
      <c r="E52" s="9">
        <v>33531</v>
      </c>
      <c r="F52" s="9" t="s">
        <v>494</v>
      </c>
      <c r="G52" s="9" t="s">
        <v>197</v>
      </c>
      <c r="H52" s="8">
        <v>46310</v>
      </c>
      <c r="I52" s="20">
        <v>4200</v>
      </c>
      <c r="J52" s="20">
        <v>4172</v>
      </c>
      <c r="K52" s="20">
        <v>28</v>
      </c>
      <c r="L52" s="6">
        <f t="shared" si="2"/>
        <v>6.6666666666666671E-3</v>
      </c>
      <c r="M52" s="5">
        <f t="shared" si="3"/>
        <v>7.8574435246246666E-4</v>
      </c>
    </row>
    <row r="53" spans="5:13" x14ac:dyDescent="0.3">
      <c r="E53" s="9">
        <v>33498</v>
      </c>
      <c r="F53" s="9" t="s">
        <v>467</v>
      </c>
      <c r="G53" s="9" t="s">
        <v>493</v>
      </c>
      <c r="H53" s="8">
        <v>46308</v>
      </c>
      <c r="I53" s="20">
        <v>3600</v>
      </c>
      <c r="J53" s="20">
        <v>3574</v>
      </c>
      <c r="K53" s="20">
        <v>26</v>
      </c>
      <c r="L53" s="6">
        <f t="shared" si="2"/>
        <v>7.2222222222222219E-3</v>
      </c>
      <c r="M53" s="5">
        <f t="shared" si="3"/>
        <v>7.296197558580048E-4</v>
      </c>
    </row>
    <row r="54" spans="5:13" x14ac:dyDescent="0.3">
      <c r="E54" s="9">
        <v>33518</v>
      </c>
      <c r="F54" s="9" t="s">
        <v>492</v>
      </c>
      <c r="G54" s="9" t="s">
        <v>145</v>
      </c>
      <c r="H54" s="8">
        <v>46308</v>
      </c>
      <c r="I54" s="20">
        <v>3600</v>
      </c>
      <c r="J54" s="20">
        <v>3575</v>
      </c>
      <c r="K54" s="20">
        <v>25</v>
      </c>
      <c r="L54" s="6">
        <f t="shared" si="2"/>
        <v>6.9444444444444441E-3</v>
      </c>
      <c r="M54" s="5">
        <f t="shared" si="3"/>
        <v>7.0155745755577377E-4</v>
      </c>
    </row>
    <row r="55" spans="5:13" x14ac:dyDescent="0.3">
      <c r="E55" s="9">
        <v>33526</v>
      </c>
      <c r="F55" s="9" t="s">
        <v>351</v>
      </c>
      <c r="G55" s="9" t="s">
        <v>12</v>
      </c>
      <c r="H55" s="8">
        <v>46309</v>
      </c>
      <c r="I55" s="20">
        <v>2000</v>
      </c>
      <c r="J55" s="20">
        <v>1980</v>
      </c>
      <c r="K55" s="20">
        <v>20</v>
      </c>
      <c r="L55" s="6">
        <f t="shared" si="2"/>
        <v>0.01</v>
      </c>
      <c r="M55" s="5">
        <f t="shared" si="3"/>
        <v>5.6124596604461901E-4</v>
      </c>
    </row>
    <row r="56" spans="5:13" x14ac:dyDescent="0.3">
      <c r="E56" s="9">
        <v>33520</v>
      </c>
      <c r="F56" s="9" t="s">
        <v>300</v>
      </c>
      <c r="G56" s="9" t="s">
        <v>12</v>
      </c>
      <c r="H56" s="8">
        <v>46309</v>
      </c>
      <c r="I56" s="20">
        <v>3000</v>
      </c>
      <c r="J56" s="20">
        <v>2985</v>
      </c>
      <c r="K56" s="20">
        <v>15</v>
      </c>
      <c r="L56" s="6">
        <f t="shared" si="2"/>
        <v>5.0000000000000001E-3</v>
      </c>
      <c r="M56" s="5">
        <f t="shared" si="3"/>
        <v>4.2093447453346431E-4</v>
      </c>
    </row>
    <row r="57" spans="5:13" x14ac:dyDescent="0.3">
      <c r="E57" s="9">
        <v>33514</v>
      </c>
      <c r="F57" s="9" t="s">
        <v>491</v>
      </c>
      <c r="G57" s="9" t="s">
        <v>204</v>
      </c>
      <c r="H57" s="8">
        <v>46308</v>
      </c>
      <c r="I57" s="20">
        <v>2100</v>
      </c>
      <c r="J57" s="20">
        <v>2099</v>
      </c>
      <c r="K57" s="20">
        <v>1</v>
      </c>
      <c r="L57" s="6">
        <f t="shared" si="2"/>
        <v>4.7619047619047619E-4</v>
      </c>
      <c r="M57" s="5">
        <f t="shared" si="3"/>
        <v>2.8062298302230953E-5</v>
      </c>
    </row>
    <row r="58" spans="5:13" x14ac:dyDescent="0.3">
      <c r="E58" s="9">
        <v>33308</v>
      </c>
      <c r="F58" s="9" t="s">
        <v>253</v>
      </c>
      <c r="G58" s="9" t="s">
        <v>24</v>
      </c>
      <c r="H58" s="8">
        <v>46309</v>
      </c>
      <c r="I58" s="20">
        <v>30000</v>
      </c>
      <c r="J58" s="20">
        <v>30000</v>
      </c>
      <c r="K58" s="20">
        <v>0</v>
      </c>
      <c r="L58" s="6">
        <f t="shared" si="2"/>
        <v>0</v>
      </c>
      <c r="M58" s="5">
        <f t="shared" si="3"/>
        <v>0</v>
      </c>
    </row>
    <row r="59" spans="5:13" x14ac:dyDescent="0.3">
      <c r="E59" s="9">
        <v>33404</v>
      </c>
      <c r="F59" s="9" t="s">
        <v>490</v>
      </c>
      <c r="G59" s="9" t="s">
        <v>187</v>
      </c>
      <c r="H59" s="8">
        <v>46310</v>
      </c>
      <c r="I59" s="20">
        <v>15000</v>
      </c>
      <c r="J59" s="20">
        <v>15680</v>
      </c>
      <c r="K59" s="20">
        <v>0</v>
      </c>
      <c r="L59" s="6">
        <f t="shared" si="2"/>
        <v>0</v>
      </c>
      <c r="M59" s="5">
        <f t="shared" si="3"/>
        <v>0</v>
      </c>
    </row>
    <row r="60" spans="5:13" x14ac:dyDescent="0.3">
      <c r="E60" s="9">
        <v>33406</v>
      </c>
      <c r="F60" s="9" t="s">
        <v>489</v>
      </c>
      <c r="G60" s="9" t="s">
        <v>187</v>
      </c>
      <c r="H60" s="8">
        <v>46308</v>
      </c>
      <c r="I60" s="20">
        <v>10400</v>
      </c>
      <c r="J60" s="20">
        <v>10400</v>
      </c>
      <c r="K60" s="20">
        <v>0</v>
      </c>
      <c r="L60" s="6">
        <f t="shared" si="2"/>
        <v>0</v>
      </c>
      <c r="M60" s="5">
        <f t="shared" si="3"/>
        <v>0</v>
      </c>
    </row>
    <row r="61" spans="5:13" x14ac:dyDescent="0.3">
      <c r="E61" s="9">
        <v>33461</v>
      </c>
      <c r="F61" s="9" t="s">
        <v>306</v>
      </c>
      <c r="G61" s="9" t="s">
        <v>12</v>
      </c>
      <c r="H61" s="8">
        <v>46309</v>
      </c>
      <c r="I61" s="20">
        <v>4000</v>
      </c>
      <c r="J61" s="20">
        <v>4010</v>
      </c>
      <c r="K61" s="20">
        <v>0</v>
      </c>
      <c r="L61" s="6">
        <f t="shared" si="2"/>
        <v>0</v>
      </c>
      <c r="M61" s="5">
        <f t="shared" si="3"/>
        <v>0</v>
      </c>
    </row>
    <row r="62" spans="5:13" x14ac:dyDescent="0.3">
      <c r="E62" s="9">
        <v>33488</v>
      </c>
      <c r="F62" s="9" t="s">
        <v>346</v>
      </c>
      <c r="G62" s="9" t="s">
        <v>2</v>
      </c>
      <c r="H62" s="8">
        <v>46309</v>
      </c>
      <c r="I62" s="20">
        <v>2000</v>
      </c>
      <c r="J62" s="20">
        <v>2005</v>
      </c>
      <c r="K62" s="20">
        <v>0</v>
      </c>
      <c r="L62" s="6">
        <f t="shared" si="2"/>
        <v>0</v>
      </c>
      <c r="M62" s="5">
        <f t="shared" si="3"/>
        <v>0</v>
      </c>
    </row>
    <row r="63" spans="5:13" x14ac:dyDescent="0.3">
      <c r="E63" s="9">
        <v>33521</v>
      </c>
      <c r="F63" s="9" t="s">
        <v>296</v>
      </c>
      <c r="G63" s="9" t="s">
        <v>12</v>
      </c>
      <c r="H63" s="8">
        <v>46308</v>
      </c>
      <c r="I63" s="20">
        <v>5600</v>
      </c>
      <c r="J63" s="20">
        <v>5739</v>
      </c>
      <c r="K63" s="20">
        <v>0</v>
      </c>
      <c r="L63" s="6">
        <f t="shared" si="2"/>
        <v>0</v>
      </c>
      <c r="M63" s="5">
        <f t="shared" si="3"/>
        <v>0</v>
      </c>
    </row>
    <row r="64" spans="5:13" x14ac:dyDescent="0.3">
      <c r="E64" s="9">
        <v>33522</v>
      </c>
      <c r="F64" s="9" t="s">
        <v>294</v>
      </c>
      <c r="G64" s="9" t="s">
        <v>12</v>
      </c>
      <c r="H64" s="8">
        <v>46309</v>
      </c>
      <c r="I64" s="20">
        <v>5600</v>
      </c>
      <c r="J64" s="20">
        <v>6000</v>
      </c>
      <c r="K64" s="20">
        <v>0</v>
      </c>
      <c r="L64" s="6">
        <f t="shared" si="2"/>
        <v>0</v>
      </c>
      <c r="M64" s="5">
        <f t="shared" si="3"/>
        <v>0</v>
      </c>
    </row>
    <row r="65" spans="5:13" x14ac:dyDescent="0.3">
      <c r="E65" s="9">
        <v>33524</v>
      </c>
      <c r="F65" s="9" t="s">
        <v>306</v>
      </c>
      <c r="G65" s="9" t="s">
        <v>12</v>
      </c>
      <c r="H65" s="8">
        <v>46308</v>
      </c>
      <c r="I65" s="20">
        <v>6000</v>
      </c>
      <c r="J65" s="20">
        <v>6110</v>
      </c>
      <c r="K65" s="20">
        <v>0</v>
      </c>
      <c r="L65" s="6">
        <f t="shared" si="2"/>
        <v>0</v>
      </c>
      <c r="M65" s="5">
        <f t="shared" si="3"/>
        <v>0</v>
      </c>
    </row>
    <row r="66" spans="5:13" x14ac:dyDescent="0.3">
      <c r="E66" s="9">
        <v>33525</v>
      </c>
      <c r="F66" s="9" t="s">
        <v>303</v>
      </c>
      <c r="G66" s="9" t="s">
        <v>12</v>
      </c>
      <c r="H66" s="8">
        <v>46309</v>
      </c>
      <c r="I66" s="20">
        <v>5450</v>
      </c>
      <c r="J66" s="20">
        <v>5587</v>
      </c>
      <c r="K66" s="20">
        <v>0</v>
      </c>
      <c r="L66" s="6">
        <f t="shared" ref="L66:L97" si="4">K66/I66</f>
        <v>0</v>
      </c>
      <c r="M66" s="5">
        <f t="shared" ref="M66:M74" si="5">K66/$B$8</f>
        <v>0</v>
      </c>
    </row>
    <row r="67" spans="5:13" x14ac:dyDescent="0.3">
      <c r="E67" s="9">
        <v>33527</v>
      </c>
      <c r="F67" s="9" t="s">
        <v>307</v>
      </c>
      <c r="G67" s="9" t="s">
        <v>12</v>
      </c>
      <c r="H67" s="8">
        <v>46310</v>
      </c>
      <c r="I67" s="20">
        <v>2250</v>
      </c>
      <c r="J67" s="20">
        <v>2279</v>
      </c>
      <c r="K67" s="20">
        <v>0</v>
      </c>
      <c r="L67" s="6">
        <f t="shared" si="4"/>
        <v>0</v>
      </c>
      <c r="M67" s="5">
        <f t="shared" si="5"/>
        <v>0</v>
      </c>
    </row>
    <row r="68" spans="5:13" x14ac:dyDescent="0.3">
      <c r="E68" s="9">
        <v>33530</v>
      </c>
      <c r="F68" s="9" t="s">
        <v>488</v>
      </c>
      <c r="G68" s="9" t="s">
        <v>2</v>
      </c>
      <c r="H68" s="8">
        <v>46310</v>
      </c>
      <c r="I68" s="20">
        <v>3000</v>
      </c>
      <c r="J68" s="20">
        <v>3000</v>
      </c>
      <c r="K68" s="20">
        <v>0</v>
      </c>
      <c r="L68" s="6">
        <f t="shared" si="4"/>
        <v>0</v>
      </c>
      <c r="M68" s="5">
        <f t="shared" si="5"/>
        <v>0</v>
      </c>
    </row>
    <row r="69" spans="5:13" x14ac:dyDescent="0.3">
      <c r="E69" s="9">
        <v>33533</v>
      </c>
      <c r="F69" s="9" t="s">
        <v>487</v>
      </c>
      <c r="G69" s="9" t="s">
        <v>197</v>
      </c>
      <c r="H69" s="8">
        <v>46310</v>
      </c>
      <c r="I69" s="20">
        <v>2100</v>
      </c>
      <c r="J69" s="20">
        <v>2101</v>
      </c>
      <c r="K69" s="20">
        <v>0</v>
      </c>
      <c r="L69" s="6">
        <f t="shared" si="4"/>
        <v>0</v>
      </c>
      <c r="M69" s="5">
        <f t="shared" si="5"/>
        <v>0</v>
      </c>
    </row>
    <row r="70" spans="5:13" x14ac:dyDescent="0.3">
      <c r="E70" s="9">
        <v>33534</v>
      </c>
      <c r="F70" s="9" t="s">
        <v>486</v>
      </c>
      <c r="G70" s="9" t="s">
        <v>192</v>
      </c>
      <c r="H70" s="8">
        <v>46311</v>
      </c>
      <c r="I70" s="20">
        <v>3120</v>
      </c>
      <c r="J70" s="20">
        <v>3146</v>
      </c>
      <c r="K70" s="20">
        <v>0</v>
      </c>
      <c r="L70" s="6">
        <f t="shared" si="4"/>
        <v>0</v>
      </c>
      <c r="M70" s="5">
        <f t="shared" si="5"/>
        <v>0</v>
      </c>
    </row>
    <row r="71" spans="5:13" x14ac:dyDescent="0.3">
      <c r="E71" s="9">
        <v>33535</v>
      </c>
      <c r="F71" s="9" t="s">
        <v>485</v>
      </c>
      <c r="G71" s="9" t="s">
        <v>290</v>
      </c>
      <c r="H71" s="8">
        <v>46310</v>
      </c>
      <c r="I71" s="20">
        <v>15000</v>
      </c>
      <c r="J71" s="20">
        <v>15100</v>
      </c>
      <c r="K71" s="20">
        <v>0</v>
      </c>
      <c r="L71" s="6">
        <f t="shared" si="4"/>
        <v>0</v>
      </c>
      <c r="M71" s="5">
        <f t="shared" si="5"/>
        <v>0</v>
      </c>
    </row>
    <row r="72" spans="5:13" x14ac:dyDescent="0.3">
      <c r="E72" s="9">
        <v>33542</v>
      </c>
      <c r="F72" s="9" t="s">
        <v>347</v>
      </c>
      <c r="G72" s="9" t="s">
        <v>2</v>
      </c>
      <c r="H72" s="8">
        <v>46310</v>
      </c>
      <c r="I72" s="20">
        <v>1200</v>
      </c>
      <c r="J72" s="20">
        <v>1223</v>
      </c>
      <c r="K72" s="20">
        <v>0</v>
      </c>
      <c r="L72" s="6">
        <f t="shared" si="4"/>
        <v>0</v>
      </c>
      <c r="M72" s="5">
        <f t="shared" si="5"/>
        <v>0</v>
      </c>
    </row>
    <row r="73" spans="5:13" x14ac:dyDescent="0.3">
      <c r="E73" s="9">
        <v>33543</v>
      </c>
      <c r="F73" s="9" t="s">
        <v>343</v>
      </c>
      <c r="G73" s="9" t="s">
        <v>2</v>
      </c>
      <c r="H73" s="8">
        <v>46310</v>
      </c>
      <c r="I73" s="20">
        <v>1600</v>
      </c>
      <c r="J73" s="20">
        <v>1600</v>
      </c>
      <c r="K73" s="20">
        <v>0</v>
      </c>
      <c r="L73" s="6">
        <f t="shared" si="4"/>
        <v>0</v>
      </c>
      <c r="M73" s="5">
        <f t="shared" si="5"/>
        <v>0</v>
      </c>
    </row>
    <row r="74" spans="5:13" x14ac:dyDescent="0.3">
      <c r="E74" s="9">
        <v>33545</v>
      </c>
      <c r="F74" s="9" t="s">
        <v>303</v>
      </c>
      <c r="G74" s="9" t="s">
        <v>2</v>
      </c>
      <c r="H74" s="8">
        <v>46310</v>
      </c>
      <c r="I74" s="20">
        <v>1400</v>
      </c>
      <c r="J74" s="20">
        <v>1400</v>
      </c>
      <c r="K74" s="20">
        <v>0</v>
      </c>
      <c r="L74" s="6">
        <f t="shared" si="4"/>
        <v>0</v>
      </c>
      <c r="M74" s="5">
        <f t="shared" si="5"/>
        <v>0</v>
      </c>
    </row>
  </sheetData>
  <autoFilter ref="E1:M1" xr:uid="{ED0A2852-B90F-4E5C-9DCF-FC384D5546E0}">
    <sortState xmlns:xlrd2="http://schemas.microsoft.com/office/spreadsheetml/2017/richdata2" ref="E2:M90">
      <sortCondition descending="1" ref="M1"/>
    </sortState>
  </autoFilter>
  <mergeCells count="1">
    <mergeCell ref="A1:B1"/>
  </mergeCells>
  <conditionalFormatting sqref="E2:E41">
    <cfRule type="duplicateValues" dxfId="1" priority="1"/>
  </conditionalFormatting>
  <pageMargins left="0.7" right="0.7" top="0.75" bottom="0.75" header="0.3" footer="0.3"/>
  <pageSetup paperSize="9" scale="10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07B6-B58E-4706-97C4-668105E3C6DC}">
  <sheetPr>
    <tabColor theme="1"/>
  </sheetPr>
  <dimension ref="A1:H52"/>
  <sheetViews>
    <sheetView zoomScaleNormal="100" workbookViewId="0">
      <selection activeCell="C27" sqref="C27"/>
    </sheetView>
  </sheetViews>
  <sheetFormatPr baseColWidth="10" defaultRowHeight="14.4" x14ac:dyDescent="0.3"/>
  <cols>
    <col min="1" max="1" width="7.21875" bestFit="1" customWidth="1"/>
    <col min="2" max="2" width="84" bestFit="1" customWidth="1"/>
    <col min="3" max="3" width="58.33203125" bestFit="1" customWidth="1"/>
    <col min="4" max="4" width="26.88671875" style="31" bestFit="1" customWidth="1"/>
    <col min="5" max="5" width="7.88671875" bestFit="1" customWidth="1"/>
    <col min="6" max="6" width="37.109375" bestFit="1" customWidth="1"/>
    <col min="7" max="7" width="10.44140625" style="31" bestFit="1" customWidth="1"/>
    <col min="8" max="8" width="11.21875" bestFit="1" customWidth="1"/>
  </cols>
  <sheetData>
    <row r="1" spans="1:8" x14ac:dyDescent="0.3">
      <c r="A1" s="37" t="s">
        <v>118</v>
      </c>
      <c r="B1" s="37" t="s">
        <v>249</v>
      </c>
      <c r="C1" s="37" t="s">
        <v>248</v>
      </c>
      <c r="D1" s="38" t="s">
        <v>247</v>
      </c>
      <c r="E1" s="37" t="s">
        <v>246</v>
      </c>
      <c r="F1" s="37" t="s">
        <v>245</v>
      </c>
      <c r="G1" s="36" t="s">
        <v>244</v>
      </c>
      <c r="H1" s="36" t="s">
        <v>243</v>
      </c>
    </row>
    <row r="2" spans="1:8" x14ac:dyDescent="0.3">
      <c r="A2" s="56"/>
      <c r="B2" s="56"/>
      <c r="C2" s="9"/>
      <c r="D2" s="20"/>
      <c r="E2" s="14" t="e">
        <f>D2/$G$2</f>
        <v>#DIV/0!</v>
      </c>
      <c r="F2" s="9"/>
      <c r="G2" s="59">
        <f>SUM(D2:D4)</f>
        <v>0</v>
      </c>
      <c r="H2" s="56" t="s">
        <v>242</v>
      </c>
    </row>
    <row r="3" spans="1:8" x14ac:dyDescent="0.3">
      <c r="A3" s="57"/>
      <c r="B3" s="57"/>
      <c r="C3" s="9"/>
      <c r="D3" s="20"/>
      <c r="E3" s="14" t="e">
        <f>D3/$G$2</f>
        <v>#DIV/0!</v>
      </c>
      <c r="F3" s="9"/>
      <c r="G3" s="60"/>
      <c r="H3" s="57"/>
    </row>
    <row r="4" spans="1:8" x14ac:dyDescent="0.3">
      <c r="A4" s="58"/>
      <c r="B4" s="58"/>
      <c r="C4" s="9"/>
      <c r="D4" s="20"/>
      <c r="E4" s="14" t="e">
        <f>D4/$G$2</f>
        <v>#DIV/0!</v>
      </c>
      <c r="F4" s="9"/>
      <c r="G4" s="60"/>
      <c r="H4" s="57"/>
    </row>
    <row r="5" spans="1:8" x14ac:dyDescent="0.3">
      <c r="A5" s="33"/>
      <c r="B5" s="33"/>
      <c r="D5" s="28"/>
      <c r="E5" s="28"/>
      <c r="G5" s="35"/>
      <c r="H5" s="33"/>
    </row>
    <row r="6" spans="1:8" x14ac:dyDescent="0.3">
      <c r="A6" s="56"/>
      <c r="B6" s="56"/>
      <c r="C6" s="9"/>
      <c r="D6" s="9"/>
      <c r="E6" s="14" t="e">
        <f>D6/$G$6</f>
        <v>#DIV/0!</v>
      </c>
      <c r="F6" s="9"/>
      <c r="G6" s="61">
        <f>SUM(D6:D10)</f>
        <v>0</v>
      </c>
      <c r="H6" s="62" t="s">
        <v>242</v>
      </c>
    </row>
    <row r="7" spans="1:8" x14ac:dyDescent="0.3">
      <c r="A7" s="57"/>
      <c r="B7" s="57"/>
      <c r="C7" s="9"/>
      <c r="D7" s="9"/>
      <c r="E7" s="14" t="e">
        <f>D7/$G$6</f>
        <v>#DIV/0!</v>
      </c>
      <c r="F7" s="9"/>
      <c r="G7" s="61"/>
      <c r="H7" s="62"/>
    </row>
    <row r="8" spans="1:8" x14ac:dyDescent="0.3">
      <c r="A8" s="57"/>
      <c r="B8" s="57"/>
      <c r="C8" s="9"/>
      <c r="D8" s="9"/>
      <c r="E8" s="14" t="e">
        <f>D8/$G$6</f>
        <v>#DIV/0!</v>
      </c>
      <c r="F8" s="9"/>
      <c r="G8" s="61"/>
      <c r="H8" s="62"/>
    </row>
    <row r="9" spans="1:8" x14ac:dyDescent="0.3">
      <c r="A9" s="57"/>
      <c r="B9" s="57"/>
      <c r="C9" s="9"/>
      <c r="D9" s="9"/>
      <c r="E9" s="14" t="e">
        <f>D9/$G$6</f>
        <v>#DIV/0!</v>
      </c>
      <c r="F9" s="9"/>
      <c r="G9" s="61"/>
      <c r="H9" s="62"/>
    </row>
    <row r="10" spans="1:8" x14ac:dyDescent="0.3">
      <c r="A10" s="58"/>
      <c r="B10" s="58"/>
      <c r="C10" s="9"/>
      <c r="D10" s="9"/>
      <c r="E10" s="14" t="e">
        <f>D10/$G$6</f>
        <v>#DIV/0!</v>
      </c>
      <c r="F10" s="9"/>
      <c r="G10" s="61"/>
      <c r="H10" s="62"/>
    </row>
    <row r="11" spans="1:8" x14ac:dyDescent="0.3">
      <c r="G11" s="34"/>
      <c r="H11" s="33"/>
    </row>
    <row r="12" spans="1:8" x14ac:dyDescent="0.3">
      <c r="D12" s="28"/>
    </row>
    <row r="13" spans="1:8" x14ac:dyDescent="0.3">
      <c r="A13" s="62"/>
      <c r="B13" s="62"/>
      <c r="C13" s="9"/>
      <c r="D13" s="9"/>
      <c r="E13" s="14" t="e">
        <f>D13/$G$13</f>
        <v>#DIV/0!</v>
      </c>
      <c r="F13" s="9"/>
      <c r="G13" s="61">
        <f>SUM(D13:D17)</f>
        <v>0</v>
      </c>
      <c r="H13" s="62" t="s">
        <v>242</v>
      </c>
    </row>
    <row r="14" spans="1:8" x14ac:dyDescent="0.3">
      <c r="A14" s="62"/>
      <c r="B14" s="62"/>
      <c r="C14" s="9"/>
      <c r="D14" s="9"/>
      <c r="E14" s="14" t="e">
        <f>D14/$G$13</f>
        <v>#DIV/0!</v>
      </c>
      <c r="F14" s="9"/>
      <c r="G14" s="61"/>
      <c r="H14" s="62"/>
    </row>
    <row r="15" spans="1:8" x14ac:dyDescent="0.3">
      <c r="A15" s="62"/>
      <c r="B15" s="62"/>
      <c r="C15" s="9"/>
      <c r="D15" s="9"/>
      <c r="E15" s="14" t="e">
        <f>D15/$G$13</f>
        <v>#DIV/0!</v>
      </c>
      <c r="F15" s="9"/>
      <c r="G15" s="61"/>
      <c r="H15" s="62"/>
    </row>
    <row r="16" spans="1:8" x14ac:dyDescent="0.3">
      <c r="A16" s="62"/>
      <c r="B16" s="62"/>
      <c r="C16" s="9"/>
      <c r="D16" s="9"/>
      <c r="E16" s="14" t="e">
        <f>D16/$G$13</f>
        <v>#DIV/0!</v>
      </c>
      <c r="F16" s="9"/>
      <c r="G16" s="61"/>
      <c r="H16" s="62"/>
    </row>
    <row r="17" spans="1:8" x14ac:dyDescent="0.3">
      <c r="A17" s="62"/>
      <c r="B17" s="62"/>
      <c r="C17" s="9"/>
      <c r="D17" s="9"/>
      <c r="E17" s="14" t="e">
        <f>D17/$G$13</f>
        <v>#DIV/0!</v>
      </c>
      <c r="F17" s="9"/>
      <c r="G17" s="61"/>
      <c r="H17" s="62"/>
    </row>
    <row r="19" spans="1:8" x14ac:dyDescent="0.3">
      <c r="A19" s="62"/>
      <c r="B19" s="62"/>
      <c r="C19" s="9"/>
      <c r="D19" s="20"/>
      <c r="E19" s="14" t="e">
        <f>D19/$G$19</f>
        <v>#DIV/0!</v>
      </c>
      <c r="F19" s="9"/>
      <c r="G19" s="61">
        <f>SUM(D19:D21)</f>
        <v>0</v>
      </c>
      <c r="H19" s="62" t="s">
        <v>242</v>
      </c>
    </row>
    <row r="20" spans="1:8" x14ac:dyDescent="0.3">
      <c r="A20" s="62"/>
      <c r="B20" s="62"/>
      <c r="C20" s="9"/>
      <c r="D20" s="20"/>
      <c r="E20" s="14" t="e">
        <f>D20/$G$19</f>
        <v>#DIV/0!</v>
      </c>
      <c r="F20" s="9"/>
      <c r="G20" s="61"/>
      <c r="H20" s="62"/>
    </row>
    <row r="21" spans="1:8" x14ac:dyDescent="0.3">
      <c r="A21" s="62"/>
      <c r="B21" s="62"/>
      <c r="C21" s="9"/>
      <c r="D21" s="20"/>
      <c r="E21" s="14" t="e">
        <f>D21/$G$19</f>
        <v>#DIV/0!</v>
      </c>
      <c r="F21" s="9"/>
      <c r="G21" s="61"/>
      <c r="H21" s="62"/>
    </row>
    <row r="23" spans="1:8" x14ac:dyDescent="0.3">
      <c r="A23" s="62"/>
      <c r="B23" s="62"/>
      <c r="C23" s="9"/>
      <c r="D23" s="9"/>
      <c r="E23" s="14" t="e">
        <f t="shared" ref="E23:E29" si="0">D23/$G$23</f>
        <v>#DIV/0!</v>
      </c>
      <c r="F23" s="9"/>
      <c r="G23" s="61">
        <f>SUM(D23:D29)</f>
        <v>0</v>
      </c>
      <c r="H23" s="61" t="s">
        <v>242</v>
      </c>
    </row>
    <row r="24" spans="1:8" x14ac:dyDescent="0.3">
      <c r="A24" s="62"/>
      <c r="B24" s="62"/>
      <c r="C24" s="9"/>
      <c r="D24" s="9"/>
      <c r="E24" s="14" t="e">
        <f t="shared" si="0"/>
        <v>#DIV/0!</v>
      </c>
      <c r="F24" s="9"/>
      <c r="G24" s="61"/>
      <c r="H24" s="61"/>
    </row>
    <row r="25" spans="1:8" x14ac:dyDescent="0.3">
      <c r="A25" s="62"/>
      <c r="B25" s="62"/>
      <c r="C25" s="9"/>
      <c r="D25" s="9"/>
      <c r="E25" s="14" t="e">
        <f t="shared" si="0"/>
        <v>#DIV/0!</v>
      </c>
      <c r="F25" s="9"/>
      <c r="G25" s="61"/>
      <c r="H25" s="61"/>
    </row>
    <row r="26" spans="1:8" x14ac:dyDescent="0.3">
      <c r="A26" s="62"/>
      <c r="B26" s="62"/>
      <c r="C26" s="9"/>
      <c r="D26" s="9"/>
      <c r="E26" s="14" t="e">
        <f t="shared" si="0"/>
        <v>#DIV/0!</v>
      </c>
      <c r="F26" s="9"/>
      <c r="G26" s="61"/>
      <c r="H26" s="61"/>
    </row>
    <row r="27" spans="1:8" x14ac:dyDescent="0.3">
      <c r="A27" s="62"/>
      <c r="B27" s="62"/>
      <c r="C27" s="9"/>
      <c r="D27" s="9"/>
      <c r="E27" s="14" t="e">
        <f t="shared" si="0"/>
        <v>#DIV/0!</v>
      </c>
      <c r="F27" s="9"/>
      <c r="G27" s="61"/>
      <c r="H27" s="61"/>
    </row>
    <row r="28" spans="1:8" x14ac:dyDescent="0.3">
      <c r="A28" s="62"/>
      <c r="B28" s="62"/>
      <c r="C28" s="9"/>
      <c r="D28" s="9"/>
      <c r="E28" s="14" t="e">
        <f t="shared" si="0"/>
        <v>#DIV/0!</v>
      </c>
      <c r="F28" s="9"/>
      <c r="G28" s="61"/>
      <c r="H28" s="61"/>
    </row>
    <row r="29" spans="1:8" x14ac:dyDescent="0.3">
      <c r="A29" s="62"/>
      <c r="B29" s="62"/>
      <c r="C29" s="9"/>
      <c r="D29" s="9"/>
      <c r="E29" s="14" t="e">
        <f t="shared" si="0"/>
        <v>#DIV/0!</v>
      </c>
      <c r="F29" s="9"/>
      <c r="G29" s="61"/>
      <c r="H29" s="61"/>
    </row>
    <row r="31" spans="1:8" x14ac:dyDescent="0.3">
      <c r="A31" s="56"/>
      <c r="B31" s="56"/>
      <c r="C31" s="9"/>
      <c r="D31" s="20"/>
      <c r="E31" s="14" t="e">
        <f t="shared" ref="E31:E36" si="1">D31/$G$31</f>
        <v>#DIV/0!</v>
      </c>
      <c r="F31" s="9"/>
      <c r="G31" s="59">
        <f>SUM(D31:D36)</f>
        <v>0</v>
      </c>
      <c r="H31" s="59" t="s">
        <v>241</v>
      </c>
    </row>
    <row r="32" spans="1:8" x14ac:dyDescent="0.3">
      <c r="A32" s="57"/>
      <c r="B32" s="57"/>
      <c r="C32" s="9"/>
      <c r="D32" s="20"/>
      <c r="E32" s="14" t="e">
        <f t="shared" si="1"/>
        <v>#DIV/0!</v>
      </c>
      <c r="F32" s="9"/>
      <c r="G32" s="60"/>
      <c r="H32" s="60"/>
    </row>
    <row r="33" spans="1:8" x14ac:dyDescent="0.3">
      <c r="A33" s="57"/>
      <c r="B33" s="57"/>
      <c r="C33" s="9"/>
      <c r="D33" s="20"/>
      <c r="E33" s="14" t="e">
        <f t="shared" si="1"/>
        <v>#DIV/0!</v>
      </c>
      <c r="F33" s="9"/>
      <c r="G33" s="60"/>
      <c r="H33" s="60"/>
    </row>
    <row r="34" spans="1:8" x14ac:dyDescent="0.3">
      <c r="A34" s="57"/>
      <c r="B34" s="57"/>
      <c r="C34" s="9"/>
      <c r="D34" s="20"/>
      <c r="E34" s="14" t="e">
        <f t="shared" si="1"/>
        <v>#DIV/0!</v>
      </c>
      <c r="F34" s="9"/>
      <c r="G34" s="60"/>
      <c r="H34" s="60"/>
    </row>
    <row r="35" spans="1:8" x14ac:dyDescent="0.3">
      <c r="A35" s="57"/>
      <c r="B35" s="57"/>
      <c r="C35" s="9"/>
      <c r="D35" s="20"/>
      <c r="E35" s="14" t="e">
        <f t="shared" si="1"/>
        <v>#DIV/0!</v>
      </c>
      <c r="F35" s="9"/>
      <c r="G35" s="60"/>
      <c r="H35" s="60"/>
    </row>
    <row r="36" spans="1:8" x14ac:dyDescent="0.3">
      <c r="A36" s="58"/>
      <c r="B36" s="58"/>
      <c r="C36" s="9"/>
      <c r="D36" s="20"/>
      <c r="E36" s="14" t="e">
        <f t="shared" si="1"/>
        <v>#DIV/0!</v>
      </c>
      <c r="F36" s="9"/>
      <c r="G36" s="63"/>
      <c r="H36" s="63"/>
    </row>
    <row r="39" spans="1:8" x14ac:dyDescent="0.3">
      <c r="A39" s="56"/>
      <c r="B39" s="56"/>
      <c r="C39" s="9"/>
      <c r="D39" s="20"/>
      <c r="E39" s="14" t="e">
        <f>D39/$G$39</f>
        <v>#DIV/0!</v>
      </c>
      <c r="F39" s="9"/>
      <c r="G39" s="59">
        <f>SUM(D39:D43)</f>
        <v>0</v>
      </c>
      <c r="H39" s="56" t="s">
        <v>241</v>
      </c>
    </row>
    <row r="40" spans="1:8" x14ac:dyDescent="0.3">
      <c r="A40" s="57"/>
      <c r="B40" s="57"/>
      <c r="C40" s="9"/>
      <c r="D40" s="20"/>
      <c r="E40" s="14" t="e">
        <f>D40/$G$39</f>
        <v>#DIV/0!</v>
      </c>
      <c r="F40" s="9"/>
      <c r="G40" s="60"/>
      <c r="H40" s="57"/>
    </row>
    <row r="41" spans="1:8" x14ac:dyDescent="0.3">
      <c r="A41" s="57"/>
      <c r="B41" s="57"/>
      <c r="C41" s="9"/>
      <c r="D41" s="20"/>
      <c r="E41" s="14" t="e">
        <f>D41/$G$39</f>
        <v>#DIV/0!</v>
      </c>
      <c r="F41" s="9"/>
      <c r="G41" s="60"/>
      <c r="H41" s="57"/>
    </row>
    <row r="42" spans="1:8" x14ac:dyDescent="0.3">
      <c r="A42" s="57"/>
      <c r="B42" s="57"/>
      <c r="C42" s="9"/>
      <c r="D42" s="20"/>
      <c r="E42" s="14" t="e">
        <f>D42/$G$39</f>
        <v>#DIV/0!</v>
      </c>
      <c r="F42" s="9"/>
      <c r="G42" s="60"/>
      <c r="H42" s="57"/>
    </row>
    <row r="43" spans="1:8" x14ac:dyDescent="0.3">
      <c r="A43" s="58"/>
      <c r="B43" s="58"/>
      <c r="C43" s="9"/>
      <c r="D43" s="20"/>
      <c r="E43" s="14" t="e">
        <f>D43/$G$39</f>
        <v>#DIV/0!</v>
      </c>
      <c r="F43" s="9"/>
      <c r="G43" s="63"/>
      <c r="H43" s="58"/>
    </row>
    <row r="45" spans="1:8" x14ac:dyDescent="0.3">
      <c r="A45" s="56"/>
      <c r="B45" s="56"/>
      <c r="C45" s="9"/>
      <c r="D45" s="20"/>
      <c r="E45" s="14" t="e">
        <f>D45/$G$45</f>
        <v>#DIV/0!</v>
      </c>
      <c r="F45" s="9"/>
      <c r="G45" s="59">
        <f>SUM(D45:D48)</f>
        <v>0</v>
      </c>
      <c r="H45" s="56" t="s">
        <v>242</v>
      </c>
    </row>
    <row r="46" spans="1:8" x14ac:dyDescent="0.3">
      <c r="A46" s="57"/>
      <c r="B46" s="57"/>
      <c r="C46" s="9"/>
      <c r="D46" s="20"/>
      <c r="E46" s="14" t="e">
        <f>D46/$G$45</f>
        <v>#DIV/0!</v>
      </c>
      <c r="F46" s="9"/>
      <c r="G46" s="60"/>
      <c r="H46" s="57"/>
    </row>
    <row r="47" spans="1:8" x14ac:dyDescent="0.3">
      <c r="A47" s="57"/>
      <c r="B47" s="57"/>
      <c r="C47" s="9"/>
      <c r="D47" s="20"/>
      <c r="E47" s="14" t="e">
        <f>D47/$G$45</f>
        <v>#DIV/0!</v>
      </c>
      <c r="F47" s="9"/>
      <c r="G47" s="60"/>
      <c r="H47" s="57"/>
    </row>
    <row r="48" spans="1:8" x14ac:dyDescent="0.3">
      <c r="A48" s="58"/>
      <c r="B48" s="58"/>
      <c r="C48" s="9"/>
      <c r="D48" s="20"/>
      <c r="E48" s="14" t="e">
        <f>D48/$G$45</f>
        <v>#DIV/0!</v>
      </c>
      <c r="F48" s="9"/>
      <c r="G48" s="63"/>
      <c r="H48" s="58"/>
    </row>
    <row r="50" spans="1:8" x14ac:dyDescent="0.3">
      <c r="A50" s="56"/>
      <c r="B50" s="56"/>
      <c r="C50" s="9"/>
      <c r="D50" s="20"/>
      <c r="E50" s="14" t="e">
        <f>D50/$G$50</f>
        <v>#DIV/0!</v>
      </c>
      <c r="F50" s="9"/>
      <c r="G50" s="59">
        <f>SUM(D50:D52)</f>
        <v>0</v>
      </c>
      <c r="H50" s="56" t="s">
        <v>242</v>
      </c>
    </row>
    <row r="51" spans="1:8" x14ac:dyDescent="0.3">
      <c r="A51" s="57"/>
      <c r="B51" s="57"/>
      <c r="C51" s="9"/>
      <c r="D51" s="20"/>
      <c r="E51" s="14" t="e">
        <f>D51/$G$50</f>
        <v>#DIV/0!</v>
      </c>
      <c r="F51" s="9"/>
      <c r="G51" s="60"/>
      <c r="H51" s="57"/>
    </row>
    <row r="52" spans="1:8" x14ac:dyDescent="0.3">
      <c r="A52" s="58"/>
      <c r="B52" s="58"/>
      <c r="C52" s="9"/>
      <c r="D52" s="20"/>
      <c r="E52" s="14" t="e">
        <f>D52/$G$50</f>
        <v>#DIV/0!</v>
      </c>
      <c r="F52" s="9"/>
      <c r="G52" s="63"/>
      <c r="H52" s="58"/>
    </row>
  </sheetData>
  <mergeCells count="36">
    <mergeCell ref="A50:A52"/>
    <mergeCell ref="B50:B52"/>
    <mergeCell ref="G50:G52"/>
    <mergeCell ref="H50:H52"/>
    <mergeCell ref="A39:A43"/>
    <mergeCell ref="B39:B43"/>
    <mergeCell ref="G39:G43"/>
    <mergeCell ref="H39:H43"/>
    <mergeCell ref="A45:A48"/>
    <mergeCell ref="B45:B48"/>
    <mergeCell ref="G45:G48"/>
    <mergeCell ref="H45:H48"/>
    <mergeCell ref="A23:A29"/>
    <mergeCell ref="B23:B29"/>
    <mergeCell ref="G23:G29"/>
    <mergeCell ref="H23:H29"/>
    <mergeCell ref="A31:A36"/>
    <mergeCell ref="B31:B36"/>
    <mergeCell ref="G31:G36"/>
    <mergeCell ref="H31:H36"/>
    <mergeCell ref="A13:A17"/>
    <mergeCell ref="B13:B17"/>
    <mergeCell ref="G13:G17"/>
    <mergeCell ref="H13:H17"/>
    <mergeCell ref="A19:A21"/>
    <mergeCell ref="B19:B21"/>
    <mergeCell ref="G19:G21"/>
    <mergeCell ref="H19:H21"/>
    <mergeCell ref="A2:A4"/>
    <mergeCell ref="B2:B4"/>
    <mergeCell ref="G2:G4"/>
    <mergeCell ref="H2:H4"/>
    <mergeCell ref="A6:A10"/>
    <mergeCell ref="B6:B10"/>
    <mergeCell ref="G6:G10"/>
    <mergeCell ref="H6:H10"/>
  </mergeCells>
  <conditionalFormatting sqref="A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sem 32</vt:lpstr>
      <vt:lpstr>sem 33</vt:lpstr>
      <vt:lpstr>sem 34</vt:lpstr>
      <vt:lpstr>sem 35</vt:lpstr>
      <vt:lpstr>sem 36</vt:lpstr>
      <vt:lpstr>sem 37</vt:lpstr>
      <vt:lpstr>sem 38</vt:lpstr>
      <vt:lpstr>sem 39</vt:lpstr>
      <vt:lpstr>sem 40</vt:lpstr>
      <vt:lpstr>sem 41</vt:lpstr>
      <vt:lpstr>sem 42</vt:lpstr>
      <vt:lpstr>DETALLE MERMAS sem 42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2026-08-27T15:30:41Z</dcterms:created>
  <dcterms:modified xsi:type="dcterms:W3CDTF">2026-10-19T12:12:29Z</dcterms:modified>
</cp:coreProperties>
</file>