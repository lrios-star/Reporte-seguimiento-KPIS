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7CA2085A-D0B9-42D5-9296-4B9C9B05DABB}" xr6:coauthVersionLast="47" xr6:coauthVersionMax="47" xr10:uidLastSave="{00000000-0000-0000-0000-000000000000}"/>
  <bookViews>
    <workbookView xWindow="28680" yWindow="-120" windowWidth="29040" windowHeight="15720" activeTab="5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DETALLE MERMAS sem 36" sheetId="9" r:id="rId6"/>
  </sheets>
  <externalReferences>
    <externalReference r:id="rId7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8" l="1"/>
  <c r="B15" i="8"/>
  <c r="B14" i="8"/>
  <c r="B6" i="8"/>
  <c r="B11" i="8"/>
  <c r="B10" i="8"/>
  <c r="G2" i="9"/>
  <c r="E5" i="9"/>
  <c r="G7" i="9"/>
  <c r="G15" i="9"/>
  <c r="G21" i="9"/>
  <c r="E21" i="9" s="1"/>
  <c r="G23" i="9"/>
  <c r="E25" i="9"/>
  <c r="G28" i="9"/>
  <c r="E28" i="9" s="1"/>
  <c r="G30" i="9"/>
  <c r="E30" i="9" s="1"/>
  <c r="E31" i="9"/>
  <c r="E32" i="9"/>
  <c r="E33" i="9"/>
  <c r="E34" i="9"/>
  <c r="E35" i="9"/>
  <c r="E36" i="9"/>
  <c r="G38" i="9"/>
  <c r="E38" i="9" s="1"/>
  <c r="E39" i="9"/>
  <c r="E40" i="9"/>
  <c r="E41" i="9"/>
  <c r="E42" i="9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E2" i="9" l="1"/>
  <c r="E4" i="9"/>
  <c r="E3" i="9"/>
  <c r="E7" i="9"/>
  <c r="E8" i="9"/>
  <c r="E9" i="9"/>
  <c r="E10" i="9"/>
  <c r="E12" i="9"/>
  <c r="E13" i="9"/>
  <c r="E11" i="9"/>
  <c r="E15" i="9"/>
  <c r="E16" i="9"/>
  <c r="E17" i="9"/>
  <c r="E19" i="9"/>
  <c r="E18" i="9"/>
  <c r="E23" i="9"/>
  <c r="E24" i="9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<sst xmlns="http://schemas.openxmlformats.org/spreadsheetml/2006/main" count="943" uniqueCount="338">
  <si>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</si>
  <si>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</si>
  <si>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</si>
  <si>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</si>
  <si>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</si>
  <si>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</si>
  <si>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</si>
  <si>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</si>
  <si>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</si>
  <si>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</si>
  <si>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</si>
  <si>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</si>
  <si>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</si>
  <si>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</si>
  <si>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</si>
  <si>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</si>
  <si>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</si>
  <si>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</si>
  <si>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</si>
  <si>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</si>
  <si>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</si>
  <si>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</si>
  <si>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</si>
  <si>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</si>
  <si>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</si>
  <si>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</si>
  <si>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</si>
  <si>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</si>
  <si>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</si>
  <si>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</si>
  <si>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</si>
  <si>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</si>
  <si>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</si>
  <si>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</si>
  <si>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</si>
  <si>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</si>
  <si>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</si>
  <si>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</si>
  <si>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</si>
  <si>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</si>
  <si>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</si>
  <si>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</si>
  <si>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</si>
  <si>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</si>
  <si>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</si>
  <si>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</si>
  <si>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</si>
  <si>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</si>
  <si>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</si>
  <si>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</si>
  <si>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</si>
  <si>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</si>
  <si>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</si>
  <si>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</si>
  <si>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</si>
  <si>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</si>
  <si>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</si>
  <si>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</si>
  <si>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</si>
  <si>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</si>
  <si>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</si>
  <si>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</si>
  <si>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</si>
  <si>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</si>
  <si>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</si>
  <si>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</si>
  <si>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</si>
  <si>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</si>
  <si>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</si>
  <si>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</si>
  <si>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</si>
  <si>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</si>
  <si>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</si>
  <si>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</si>
  <si>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</si>
  <si>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</si>
  <si>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</si>
  <si>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</si>
  <si>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</si>
  <si>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</si>
  <si>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</si>
  <si>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</si>
  <si>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</si>
  <si>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</si>
  <si>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</si>
  <si>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</si>
  <si>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</si>
  <si>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</si>
  <si>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</si>
  <si>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</si>
  <si>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</si>
  <si>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</si>
  <si>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</si>
  <si>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</si>
  <si>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</si>
  <si>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</si>
  <si>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</si>
  <si>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</si>
  <si>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</si>
  <si>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</si>
  <si>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</si>
  <si>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</si>
  <si>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</si>
  <si>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</si>
  <si>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</si>
  <si>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</si>
  <si>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</si>
  <si>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</si>
  <si>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</si>
  <si>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</si>
  <si>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</si>
  <si>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</si>
  <si>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</si>
  <si>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</si>
  <si>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</si>
  <si>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</si>
  <si>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</si>
  <si>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</si>
  <si>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</si>
  <si>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</si>
  <si>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</si>
  <si>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</si>
  <si>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</si>
  <si>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</si>
  <si>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</si>
  <si>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</si>
  <si>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</si>
  <si>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</si>
  <si>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</si>
  <si>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</si>
  <si>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</si>
  <si>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</si>
  <si>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</si>
  <si>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</si>
  <si>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</si>
  <si>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</si>
  <si>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</si>
  <si>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</si>
  <si>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</si>
  <si>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</si>
  <si>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</si>
  <si>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</si>
  <si>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</si>
  <si>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</si>
  <si>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</si>
  <si>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</si>
  <si>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</si>
  <si>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</si>
  <si>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</si>
  <si>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</si>
  <si>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</si>
  <si>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</si>
  <si>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</si>
  <si>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</si>
  <si>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</si>
  <si>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</si>
  <si>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</si>
  <si>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</si>
  <si>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</si>
  <si>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</si>
  <si>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</si>
  <si>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</si>
  <si>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</si>
  <si>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</si>
  <si>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</si>
  <si>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</si>
  <si>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</si>
  <si>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</si>
  <si>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</si>
  <si>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</si>
  <si>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</si>
  <si>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</si>
  <si>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</si>
  <si>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</si>
  <si>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</si>
  <si>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</si>
  <si>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</si>
  <si>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</si>
  <si>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</si>
  <si>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</si>
  <si>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</si>
  <si>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</si>
  <si>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</si>
  <si>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</si>
  <si>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</si>
  <si>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</si>
  <si>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</si>
  <si>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</si>
  <si>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</si>
  <si>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</si>
  <si>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</si>
  <si>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</si>
  <si>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</si>
  <si>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</si>
  <si>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</si>
  <si>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</si>
  <si>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</si>
  <si>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</si>
  <si>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</si>
  <si>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</si>
  <si>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</si>
  <si>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</si>
  <si>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</si>
  <si>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</si>
  <si>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</si>
  <si>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</si>
  <si>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</si>
  <si>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</si>
  <si>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</si>
  <si>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</si>
  <si>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</si>
  <si>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</si>
  <si>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</si>
  <si>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</si>
  <si>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</si>
  <si>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</si>
  <si>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</si>
  <si>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</si>
  <si>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</si>
  <si>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</si>
  <si>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</si>
  <si>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</si>
  <si>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</si>
  <si>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</si>
  <si>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</si>
  <si>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</si>
  <si>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</si>
  <si>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</si>
  <si>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</si>
  <si>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</si>
  <si>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</si>
  <si>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</si>
  <si>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</si>
  <si>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</si>
  <si>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</si>
  <si>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</si>
  <si>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</si>
  <si>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</si>
  <si>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</si>
  <si>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</si>
  <si>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</si>
  <si>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PRUEBAS DE CALIDAD</t>
  </si>
  <si>
    <t>AJUSTE DE PROCESO</t>
  </si>
  <si>
    <t>UN</t>
  </si>
  <si>
    <t>FLECTACION</t>
  </si>
  <si>
    <t>CORTES EN MATERIAL</t>
  </si>
  <si>
    <t>MT</t>
  </si>
  <si>
    <t>DESCALCE</t>
  </si>
  <si>
    <t>DIFERENCIA DE COLOR IMPRESO</t>
  </si>
  <si>
    <t>AJUSTES POR VISTO BUENO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</si>
  <si>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</si>
  <si>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</si>
  <si>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</si>
  <si>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</si>
  <si>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</si>
  <si>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</si>
  <si>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</si>
  <si>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DIFERENCIA DE METROS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</si>
  <si>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</si>
  <si>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</si>
  <si>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</si>
  <si>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</si>
  <si>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</si>
  <si>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</si>
  <si>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</si>
  <si>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</si>
  <si>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</si>
  <si>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</si>
  <si>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</si>
  <si>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</si>
  <si>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</si>
  <si>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</si>
  <si>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</si>
  <si>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</si>
  <si>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</si>
  <si>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</si>
  <si>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</si>
  <si>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</si>
  <si>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</si>
  <si>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</si>
  <si>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</si>
  <si>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</si>
  <si>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</si>
  <si>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</si>
  <si>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</si>
  <si>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</si>
  <si>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</si>
  <si>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</si>
  <si>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</si>
  <si>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</si>
  <si>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</si>
  <si>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</si>
  <si>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</si>
  <si>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</si>
  <si>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</si>
  <si>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</si>
  <si>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</si>
  <si>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</si>
  <si>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</si>
  <si>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</si>
  <si>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</si>
  <si>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</si>
  <si>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Se generan 55 unidades de merma por pruebas de calidad</t>
  </si>
  <si>
    <t>Se generan 41 unidades de merma por empalmes</t>
  </si>
  <si>
    <t>Se generan 208 unidades de merma por descalce</t>
  </si>
  <si>
    <t>Se generan 388 unidades de merma por diferencia de tono</t>
  </si>
  <si>
    <t>Se generan 55 unidades de merma por ajuste de proceso</t>
  </si>
  <si>
    <t>Se generan 21,4 metros de merma por ajustes por visto bueno</t>
  </si>
  <si>
    <t>QUIEBRE EN TRIPAS</t>
  </si>
  <si>
    <t>Se generan 64,2 metros de merma por quiebre en tripas</t>
  </si>
  <si>
    <t>Se generan 107,1 metros de merma por empalmes</t>
  </si>
  <si>
    <t>Se generan 71,4 metros de merma por descalce</t>
  </si>
  <si>
    <t>Se generan 154.2 metros de merma por diferencia de tono</t>
  </si>
  <si>
    <t>Se generan 107,1 metros de merma por ajuste de proceso</t>
  </si>
  <si>
    <t>Se generan 14,8 metros de merma por cortes en material</t>
  </si>
  <si>
    <t>Se generan 650 metros de merma por ajuste de proceso</t>
  </si>
  <si>
    <t>Se generan 82 unidades de merma por pruebas de calidad</t>
  </si>
  <si>
    <t>Se generan 10 unidades de merma por ajuste de proceso</t>
  </si>
  <si>
    <t>Se generan 1641 unidades de merma por flectacion</t>
  </si>
  <si>
    <t>PIQUETE</t>
  </si>
  <si>
    <t>Se generan 1124 metros de merma por piquete</t>
  </si>
  <si>
    <t>Se generan 35,6 metros de merma por pruebas de calidad</t>
  </si>
  <si>
    <t>Se generan 300.8 metros de merma por empalmes</t>
  </si>
  <si>
    <t>Se generan 423,3 metros de merma por diferencia de tono</t>
  </si>
  <si>
    <t>Se generan 445.6 metros de merma por ajuste de proceso</t>
  </si>
  <si>
    <t>Se generan 44.5 metros de merma por flectacion</t>
  </si>
  <si>
    <t>Se generan 85.9 metros de merma por pruebas de calidad</t>
  </si>
  <si>
    <t>FALLA MECANICA</t>
  </si>
  <si>
    <t>Se generan 1074.7 metros de merma por falla de cuchillas</t>
  </si>
  <si>
    <t>Se generan 53.7 metros de merma por empalmes</t>
  </si>
  <si>
    <t>Se generan 107.4 metros de merma por descalce</t>
  </si>
  <si>
    <t>Se generan 53,7 metros de merma por diferencia de tono</t>
  </si>
  <si>
    <t>Se generan 322.4 metros de merma por ajuste de proceso</t>
  </si>
  <si>
    <t>Se generan 26.8 metros de merma por de diferencia de metros</t>
  </si>
  <si>
    <t>Se generan 31.1 metros de merma por pruebas de calidad</t>
  </si>
  <si>
    <t>Se generan 253.4 metros de merma por empalmes</t>
  </si>
  <si>
    <t>Se generan 545.9 metros de merma por descalce</t>
  </si>
  <si>
    <t>Se generan 1269.3 metros de merma por ajuste de proceso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</si>
</sst>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41" fontId="0" fillId="0" borderId="0" xfId="1" applyFont="1" applyBorder="1" applyAlignment="1">
      <alignment vertical="center"/>
    </xf>
    <xf numFmtId="41" fontId="0" fillId="0" borderId="0" xfId="1" applyFont="1" applyAlignment="1">
      <alignment vertical="center"/>
    </xf>
    <xf numFmtId="41" fontId="0" fillId="0" borderId="7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41" fontId="0" fillId="0" borderId="2" xfId="1" applyFont="1" applyBorder="1"/>
    <xf numFmtId="0" fontId="0" fillId="0" borderId="1" xfId="0" applyBorder="1" applyAlignment="1">
      <alignment horizontal="center" vertical="center"/>
    </xf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41" fontId="0" fillId="0" borderId="1" xfId="1" applyFont="1" applyBorder="1" applyAlignment="1">
      <alignment vertical="center"/>
    </xf>
    <xf numFmtId="164" fontId="4" fillId="0" borderId="1" xfId="2" applyNumberFormat="1" applyFont="1" applyBorder="1"/>
    <xf numFmtId="0" fontId="2" fillId="4" borderId="1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file:///C:\Users\Usuario\Downloads\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DETALLE MERMAS 07-09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2" t="s">
        <v>119</v>
      </c>
      <c r="B1" s="52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10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2" t="s">
        <v>119</v>
      </c>
      <c r="B1" s="52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9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2" t="s">
        <v>119</v>
      </c>
      <c r="B1" s="52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8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2" t="s">
        <v>119</v>
      </c>
      <c r="B1" s="52"/>
      <c r="E1" s="23" t="s">
        <v>118</v>
      </c>
      <c r="F1" s="49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8" t="s">
        <v>278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258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46"/>
      <c r="E10" s="9">
        <v>32963</v>
      </c>
      <c r="F10" s="32" t="s">
        <v>258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275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258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277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275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276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275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274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258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273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272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271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271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271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270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269</v>
      </c>
      <c r="G46" s="9" t="s">
        <v>268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262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267</v>
      </c>
      <c r="G51" s="9" t="s">
        <v>266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265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264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263</v>
      </c>
      <c r="G60" s="9" t="s">
        <v>262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263</v>
      </c>
      <c r="G61" s="9" t="s">
        <v>262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263</v>
      </c>
      <c r="G62" s="9" t="s">
        <v>262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261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260</v>
      </c>
      <c r="G65" s="9" t="s">
        <v>259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7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7" priority="3"/>
  </conditionalFormatting>
  <conditionalFormatting sqref="D7">
    <cfRule type="duplicateValues" dxfId="6" priority="2"/>
  </conditionalFormatting>
  <conditionalFormatting sqref="D8">
    <cfRule type="duplicateValues" dxfId="5" priority="1"/>
  </conditionalFormatting>
  <conditionalFormatting sqref="E2:E1048576">
    <cfRule type="duplicateValues" dxfId="4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00206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2" t="s">
        <v>119</v>
      </c>
      <c r="B1" s="52"/>
      <c r="E1" s="23" t="s">
        <v>118</v>
      </c>
      <c r="F1" s="49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8" t="s">
        <v>278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301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301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293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301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300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46"/>
      <c r="E10" s="9">
        <v>32992</v>
      </c>
      <c r="F10" s="32" t="s">
        <v>299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298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297</v>
      </c>
      <c r="G13" s="9" t="s">
        <v>296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281</v>
      </c>
      <c r="G14" s="9" t="s">
        <v>279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51">
        <f>B9-'[1]31-08'!B9</f>
        <v>6.1046003200982552E-4</v>
      </c>
      <c r="E15" s="9">
        <v>33095</v>
      </c>
      <c r="F15" s="32" t="s">
        <v>295</v>
      </c>
      <c r="G15" s="9" t="s">
        <v>294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293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287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292</v>
      </c>
      <c r="G18" s="9" t="s">
        <v>291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282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282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290</v>
      </c>
      <c r="G22" s="9" t="s">
        <v>279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289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288</v>
      </c>
      <c r="G24" s="9" t="s">
        <v>279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281</v>
      </c>
      <c r="G26" s="9" t="s">
        <v>279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287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286</v>
      </c>
      <c r="G30" s="9" t="s">
        <v>285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265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284</v>
      </c>
      <c r="G32" s="9" t="s">
        <v>283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282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281</v>
      </c>
      <c r="G37" s="9" t="s">
        <v>279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280</v>
      </c>
      <c r="G38" s="9" t="s">
        <v>279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7"/>
    </row>
  </sheetData>
  <autoFilter ref="E1:N1" xr:uid="{ED0A2852-B90F-4E5C-9DCF-FC384D5546E0}"/>
  <mergeCells count="1">
    <mergeCell ref="A1:B1"/>
  </mergeCells>
  <conditionalFormatting sqref="D2:D6">
    <cfRule type="duplicateValues" dxfId="3" priority="3"/>
  </conditionalFormatting>
  <conditionalFormatting sqref="D7">
    <cfRule type="duplicateValues" dxfId="2" priority="2"/>
  </conditionalFormatting>
  <conditionalFormatting sqref="D8">
    <cfRule type="duplicateValues" dxfId="1" priority="1"/>
  </conditionalFormatting>
  <conditionalFormatting sqref="E2:E41">
    <cfRule type="duplicateValues" dxfId="0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3FC7D-502A-438A-8698-3830724DEC2F}">
  <sheetPr>
    <tabColor theme="1"/>
  </sheetPr>
  <dimension ref="A1:AI42"/>
  <sheetViews>
    <sheetView tabSelected="1" topLeftCell="A15" zoomScaleNormal="100" workbookViewId="0">
      <selection activeCell="C24" sqref="C24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3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42" t="s">
        <v>118</v>
      </c>
      <c r="B1" s="42" t="s">
        <v>256</v>
      </c>
      <c r="C1" s="42" t="s">
        <v>255</v>
      </c>
      <c r="D1" s="43" t="s">
        <v>254</v>
      </c>
      <c r="E1" s="42" t="s">
        <v>253</v>
      </c>
      <c r="F1" s="42" t="s">
        <v>252</v>
      </c>
      <c r="G1" s="41" t="s">
        <v>251</v>
      </c>
      <c r="H1" s="41" t="s">
        <v>250</v>
      </c>
    </row>
    <row r="2" spans="1:8" x14ac:dyDescent="0.3">
      <c r="A2" s="53">
        <v>32781</v>
      </c>
      <c r="B2" s="53" t="s">
        <v>301</v>
      </c>
      <c r="C2" s="9" t="s">
        <v>337</v>
      </c>
      <c r="D2" s="20">
        <v>1269.3</v>
      </c>
      <c r="E2" s="14">
        <f>D2/$G$2</f>
        <v>0.60451493070438633</v>
      </c>
      <c r="F2" s="9" t="s">
        <v>242</v>
      </c>
      <c r="G2" s="56">
        <f>SUM(D2:D5)</f>
        <v>2099.6999999999998</v>
      </c>
      <c r="H2" s="53" t="s">
        <v>246</v>
      </c>
    </row>
    <row r="3" spans="1:8" x14ac:dyDescent="0.3">
      <c r="A3" s="54"/>
      <c r="B3" s="54"/>
      <c r="C3" s="9" t="s">
        <v>336</v>
      </c>
      <c r="D3" s="20">
        <v>545.9</v>
      </c>
      <c r="E3" s="14">
        <f>D3/$G$2</f>
        <v>0.25998952231271133</v>
      </c>
      <c r="F3" s="9" t="s">
        <v>247</v>
      </c>
      <c r="G3" s="57"/>
      <c r="H3" s="54"/>
    </row>
    <row r="4" spans="1:8" ht="16.2" customHeight="1" x14ac:dyDescent="0.3">
      <c r="A4" s="54"/>
      <c r="B4" s="54"/>
      <c r="C4" s="9" t="s">
        <v>335</v>
      </c>
      <c r="D4" s="20">
        <v>253.4</v>
      </c>
      <c r="E4" s="14">
        <f>D4/$G$2</f>
        <v>0.12068390722484165</v>
      </c>
      <c r="F4" s="9" t="s">
        <v>245</v>
      </c>
      <c r="G4" s="57"/>
      <c r="H4" s="54"/>
    </row>
    <row r="5" spans="1:8" ht="16.2" customHeight="1" x14ac:dyDescent="0.3">
      <c r="A5" s="55"/>
      <c r="B5" s="55"/>
      <c r="C5" s="9" t="s">
        <v>334</v>
      </c>
      <c r="D5" s="20">
        <v>31.1</v>
      </c>
      <c r="E5" s="14">
        <f>D5/$G$2</f>
        <v>1.4811639758060676E-2</v>
      </c>
      <c r="F5" s="9" t="s">
        <v>241</v>
      </c>
      <c r="G5" s="58"/>
      <c r="H5" s="55"/>
    </row>
    <row r="6" spans="1:8" x14ac:dyDescent="0.3">
      <c r="A6" s="34"/>
      <c r="B6" s="34"/>
      <c r="D6" s="28"/>
      <c r="E6" s="28"/>
      <c r="G6" s="40"/>
      <c r="H6" s="39"/>
    </row>
    <row r="7" spans="1:8" x14ac:dyDescent="0.3">
      <c r="A7" s="53">
        <v>32476</v>
      </c>
      <c r="B7" s="53" t="s">
        <v>97</v>
      </c>
      <c r="C7" s="9" t="s">
        <v>333</v>
      </c>
      <c r="D7" s="20">
        <v>26.8</v>
      </c>
      <c r="E7" s="14">
        <f t="shared" ref="E7:E13" si="0">D7/$G$7</f>
        <v>1.5539835324133132E-2</v>
      </c>
      <c r="F7" s="9" t="s">
        <v>257</v>
      </c>
      <c r="G7" s="56">
        <f>SUM(D7:D13)</f>
        <v>1724.6000000000001</v>
      </c>
      <c r="H7" s="53" t="s">
        <v>246</v>
      </c>
    </row>
    <row r="8" spans="1:8" x14ac:dyDescent="0.3">
      <c r="A8" s="54"/>
      <c r="B8" s="54"/>
      <c r="C8" s="9" t="s">
        <v>332</v>
      </c>
      <c r="D8" s="20">
        <v>322.39999999999998</v>
      </c>
      <c r="E8" s="14">
        <f t="shared" si="0"/>
        <v>0.18694189957091498</v>
      </c>
      <c r="F8" s="9" t="s">
        <v>242</v>
      </c>
      <c r="G8" s="57"/>
      <c r="H8" s="54"/>
    </row>
    <row r="9" spans="1:8" x14ac:dyDescent="0.3">
      <c r="A9" s="54"/>
      <c r="B9" s="54"/>
      <c r="C9" s="9" t="s">
        <v>331</v>
      </c>
      <c r="D9" s="20">
        <v>53.7</v>
      </c>
      <c r="E9" s="14">
        <f t="shared" si="0"/>
        <v>3.1137655108430938E-2</v>
      </c>
      <c r="F9" s="9" t="s">
        <v>248</v>
      </c>
      <c r="G9" s="57"/>
      <c r="H9" s="54"/>
    </row>
    <row r="10" spans="1:8" x14ac:dyDescent="0.3">
      <c r="A10" s="54"/>
      <c r="B10" s="54"/>
      <c r="C10" s="9" t="s">
        <v>330</v>
      </c>
      <c r="D10" s="20">
        <v>107.4</v>
      </c>
      <c r="E10" s="14">
        <f t="shared" si="0"/>
        <v>6.2275310216861876E-2</v>
      </c>
      <c r="F10" s="9" t="s">
        <v>247</v>
      </c>
      <c r="G10" s="57"/>
      <c r="H10" s="54"/>
    </row>
    <row r="11" spans="1:8" x14ac:dyDescent="0.3">
      <c r="A11" s="54"/>
      <c r="B11" s="54"/>
      <c r="C11" s="9" t="s">
        <v>329</v>
      </c>
      <c r="D11" s="20">
        <v>53.7</v>
      </c>
      <c r="E11" s="14">
        <f t="shared" si="0"/>
        <v>3.1137655108430938E-2</v>
      </c>
      <c r="F11" s="9" t="s">
        <v>245</v>
      </c>
      <c r="G11" s="57"/>
      <c r="H11" s="54"/>
    </row>
    <row r="12" spans="1:8" x14ac:dyDescent="0.3">
      <c r="A12" s="54"/>
      <c r="B12" s="54"/>
      <c r="C12" s="9" t="s">
        <v>328</v>
      </c>
      <c r="D12" s="20">
        <v>1074.7</v>
      </c>
      <c r="E12" s="14">
        <f t="shared" si="0"/>
        <v>0.62315899338977154</v>
      </c>
      <c r="F12" s="9" t="s">
        <v>327</v>
      </c>
      <c r="G12" s="57"/>
      <c r="H12" s="54"/>
    </row>
    <row r="13" spans="1:8" x14ac:dyDescent="0.3">
      <c r="A13" s="55"/>
      <c r="B13" s="55"/>
      <c r="C13" s="9" t="s">
        <v>326</v>
      </c>
      <c r="D13" s="20">
        <v>85.9</v>
      </c>
      <c r="E13" s="14">
        <f t="shared" si="0"/>
        <v>4.9808651281456569E-2</v>
      </c>
      <c r="F13" s="9" t="s">
        <v>241</v>
      </c>
      <c r="G13" s="58"/>
      <c r="H13" s="55"/>
    </row>
    <row r="14" spans="1:8" x14ac:dyDescent="0.3">
      <c r="A14" s="34"/>
      <c r="B14" s="34"/>
      <c r="D14" s="28"/>
      <c r="E14" s="28"/>
      <c r="G14" s="38"/>
      <c r="H14" s="34"/>
    </row>
    <row r="15" spans="1:8" x14ac:dyDescent="0.3">
      <c r="A15" s="53">
        <v>32783</v>
      </c>
      <c r="B15" s="53" t="s">
        <v>301</v>
      </c>
      <c r="C15" s="9" t="s">
        <v>325</v>
      </c>
      <c r="D15" s="20">
        <v>44.5</v>
      </c>
      <c r="E15" s="14">
        <f>D15/$G$15</f>
        <v>3.5605696911505842E-2</v>
      </c>
      <c r="F15" s="9" t="s">
        <v>244</v>
      </c>
      <c r="G15" s="56">
        <f>SUM(D15:D19)</f>
        <v>1249.8</v>
      </c>
      <c r="H15" s="53" t="s">
        <v>246</v>
      </c>
    </row>
    <row r="16" spans="1:8" x14ac:dyDescent="0.3">
      <c r="A16" s="54"/>
      <c r="B16" s="54"/>
      <c r="C16" s="9" t="s">
        <v>324</v>
      </c>
      <c r="D16" s="20">
        <v>445.6</v>
      </c>
      <c r="E16" s="14">
        <f>D16/$G$15</f>
        <v>0.35653704592734842</v>
      </c>
      <c r="F16" s="9" t="s">
        <v>242</v>
      </c>
      <c r="G16" s="57"/>
      <c r="H16" s="54"/>
    </row>
    <row r="17" spans="1:35" x14ac:dyDescent="0.3">
      <c r="A17" s="54"/>
      <c r="B17" s="54"/>
      <c r="C17" s="9" t="s">
        <v>323</v>
      </c>
      <c r="D17" s="20">
        <v>423.3</v>
      </c>
      <c r="E17" s="14">
        <f>D17/$G$15</f>
        <v>0.3386941910705713</v>
      </c>
      <c r="F17" s="9" t="s">
        <v>248</v>
      </c>
      <c r="G17" s="57"/>
      <c r="H17" s="54"/>
    </row>
    <row r="18" spans="1:35" x14ac:dyDescent="0.3">
      <c r="A18" s="54"/>
      <c r="B18" s="54"/>
      <c r="C18" s="9" t="s">
        <v>322</v>
      </c>
      <c r="D18" s="20">
        <v>300.8</v>
      </c>
      <c r="E18" s="14">
        <f>D18/$G$15</f>
        <v>0.24067850856136982</v>
      </c>
      <c r="F18" s="9" t="s">
        <v>245</v>
      </c>
      <c r="G18" s="57"/>
      <c r="H18" s="54"/>
    </row>
    <row r="19" spans="1:35" x14ac:dyDescent="0.3">
      <c r="A19" s="55"/>
      <c r="B19" s="55"/>
      <c r="C19" s="9" t="s">
        <v>321</v>
      </c>
      <c r="D19" s="20">
        <v>35.6</v>
      </c>
      <c r="E19" s="14">
        <f>D19/$G$15</f>
        <v>2.8484557529204674E-2</v>
      </c>
      <c r="F19" s="9" t="s">
        <v>241</v>
      </c>
      <c r="G19" s="58"/>
      <c r="H19" s="55"/>
    </row>
    <row r="20" spans="1:35" x14ac:dyDescent="0.3">
      <c r="G20" s="37"/>
      <c r="H20" s="34"/>
    </row>
    <row r="21" spans="1:35" x14ac:dyDescent="0.3">
      <c r="A21" s="45">
        <v>33071</v>
      </c>
      <c r="B21" s="45" t="s">
        <v>179</v>
      </c>
      <c r="C21" s="9" t="s">
        <v>320</v>
      </c>
      <c r="D21" s="20">
        <v>1124</v>
      </c>
      <c r="E21" s="14">
        <f>D21/$G$21</f>
        <v>1</v>
      </c>
      <c r="F21" s="9" t="s">
        <v>319</v>
      </c>
      <c r="G21" s="50">
        <f>SUM(D21:D21)</f>
        <v>1124</v>
      </c>
      <c r="H21" s="45" t="s">
        <v>246</v>
      </c>
    </row>
    <row r="22" spans="1:35" x14ac:dyDescent="0.3">
      <c r="D22" s="44"/>
    </row>
    <row r="23" spans="1:35" x14ac:dyDescent="0.3">
      <c r="A23" s="53">
        <v>33124</v>
      </c>
      <c r="B23" s="53" t="s">
        <v>293</v>
      </c>
      <c r="C23" s="9" t="s">
        <v>318</v>
      </c>
      <c r="D23" s="9">
        <v>1641</v>
      </c>
      <c r="E23" s="14">
        <f>D23/$G$23</f>
        <v>0.9469128678592037</v>
      </c>
      <c r="F23" s="9" t="s">
        <v>244</v>
      </c>
      <c r="G23" s="59">
        <f>SUM(D23:D25)</f>
        <v>1733</v>
      </c>
      <c r="H23" s="60" t="s">
        <v>243</v>
      </c>
    </row>
    <row r="24" spans="1:35" x14ac:dyDescent="0.3">
      <c r="A24" s="54"/>
      <c r="B24" s="54"/>
      <c r="C24" s="9" t="s">
        <v>317</v>
      </c>
      <c r="D24" s="9">
        <v>10</v>
      </c>
      <c r="E24" s="14">
        <f>D24/$G$23</f>
        <v>5.7703404500865554E-3</v>
      </c>
      <c r="F24" s="9" t="s">
        <v>242</v>
      </c>
      <c r="G24" s="59"/>
      <c r="H24" s="60"/>
    </row>
    <row r="25" spans="1:35" x14ac:dyDescent="0.3">
      <c r="A25" s="55"/>
      <c r="B25" s="55"/>
      <c r="C25" s="9" t="s">
        <v>316</v>
      </c>
      <c r="D25" s="9">
        <v>82</v>
      </c>
      <c r="E25" s="14">
        <f>D25/$G$23</f>
        <v>4.731679169070975E-2</v>
      </c>
      <c r="F25" s="9" t="s">
        <v>241</v>
      </c>
      <c r="G25" s="59"/>
      <c r="H25" s="60"/>
    </row>
    <row r="26" spans="1:35" s="33" customFormat="1" x14ac:dyDescent="0.3">
      <c r="A26" s="35"/>
      <c r="B26" s="34"/>
      <c r="C26" s="34"/>
      <c r="D26" s="36"/>
      <c r="E26" s="34"/>
      <c r="F26" s="34"/>
      <c r="G26" s="36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</row>
    <row r="28" spans="1:35" x14ac:dyDescent="0.3">
      <c r="A28" s="45">
        <v>33070</v>
      </c>
      <c r="B28" s="45" t="s">
        <v>300</v>
      </c>
      <c r="C28" s="9" t="s">
        <v>315</v>
      </c>
      <c r="D28" s="20">
        <v>650</v>
      </c>
      <c r="E28" s="14">
        <f>D28/$G$28</f>
        <v>1</v>
      </c>
      <c r="F28" s="9" t="s">
        <v>242</v>
      </c>
      <c r="G28" s="50">
        <f>SUM(D28:D28)</f>
        <v>650</v>
      </c>
      <c r="H28" s="45" t="s">
        <v>246</v>
      </c>
    </row>
    <row r="30" spans="1:35" x14ac:dyDescent="0.3">
      <c r="A30" s="53">
        <v>32828</v>
      </c>
      <c r="B30" s="53" t="s">
        <v>173</v>
      </c>
      <c r="C30" s="9" t="s">
        <v>314</v>
      </c>
      <c r="D30" s="9">
        <v>14.8</v>
      </c>
      <c r="E30" s="14">
        <f t="shared" ref="E30:E36" si="1">D30/$G$30</f>
        <v>2.7397260273972601E-2</v>
      </c>
      <c r="F30" s="9" t="s">
        <v>245</v>
      </c>
      <c r="G30" s="56">
        <f>SUM(D30:D36)</f>
        <v>540.20000000000005</v>
      </c>
      <c r="H30" s="53" t="s">
        <v>246</v>
      </c>
    </row>
    <row r="31" spans="1:35" x14ac:dyDescent="0.3">
      <c r="A31" s="54"/>
      <c r="B31" s="54"/>
      <c r="C31" s="9" t="s">
        <v>313</v>
      </c>
      <c r="D31" s="9">
        <v>107.1</v>
      </c>
      <c r="E31" s="14">
        <f t="shared" si="1"/>
        <v>0.19825990373935576</v>
      </c>
      <c r="F31" s="9" t="s">
        <v>242</v>
      </c>
      <c r="G31" s="57"/>
      <c r="H31" s="54"/>
    </row>
    <row r="32" spans="1:35" x14ac:dyDescent="0.3">
      <c r="A32" s="54"/>
      <c r="B32" s="54"/>
      <c r="C32" s="9" t="s">
        <v>312</v>
      </c>
      <c r="D32" s="9">
        <v>154.19999999999999</v>
      </c>
      <c r="E32" s="14">
        <f t="shared" si="1"/>
        <v>0.28544983339503882</v>
      </c>
      <c r="F32" s="9" t="s">
        <v>248</v>
      </c>
      <c r="G32" s="57"/>
      <c r="H32" s="54"/>
    </row>
    <row r="33" spans="1:8" x14ac:dyDescent="0.3">
      <c r="A33" s="54"/>
      <c r="B33" s="54"/>
      <c r="C33" s="9" t="s">
        <v>311</v>
      </c>
      <c r="D33" s="9">
        <v>71.400000000000006</v>
      </c>
      <c r="E33" s="14">
        <f t="shared" si="1"/>
        <v>0.13217326915957053</v>
      </c>
      <c r="F33" s="9" t="s">
        <v>247</v>
      </c>
      <c r="G33" s="57"/>
      <c r="H33" s="54"/>
    </row>
    <row r="34" spans="1:8" x14ac:dyDescent="0.3">
      <c r="A34" s="54"/>
      <c r="B34" s="54"/>
      <c r="C34" s="9" t="s">
        <v>310</v>
      </c>
      <c r="D34" s="9">
        <v>107.1</v>
      </c>
      <c r="E34" s="14">
        <f t="shared" si="1"/>
        <v>0.19825990373935576</v>
      </c>
      <c r="F34" s="9" t="s">
        <v>245</v>
      </c>
      <c r="G34" s="57"/>
      <c r="H34" s="54"/>
    </row>
    <row r="35" spans="1:8" x14ac:dyDescent="0.3">
      <c r="A35" s="54"/>
      <c r="B35" s="54"/>
      <c r="C35" s="9" t="s">
        <v>309</v>
      </c>
      <c r="D35" s="9">
        <v>64.2</v>
      </c>
      <c r="E35" s="14">
        <f t="shared" si="1"/>
        <v>0.11884487226952981</v>
      </c>
      <c r="F35" s="9" t="s">
        <v>308</v>
      </c>
      <c r="G35" s="57"/>
      <c r="H35" s="54"/>
    </row>
    <row r="36" spans="1:8" x14ac:dyDescent="0.3">
      <c r="A36" s="55"/>
      <c r="B36" s="55"/>
      <c r="C36" s="9" t="s">
        <v>307</v>
      </c>
      <c r="D36" s="9">
        <v>21.4</v>
      </c>
      <c r="E36" s="14">
        <f t="shared" si="1"/>
        <v>3.9614957423176597E-2</v>
      </c>
      <c r="F36" s="9" t="s">
        <v>249</v>
      </c>
      <c r="G36" s="58"/>
      <c r="H36" s="55"/>
    </row>
    <row r="38" spans="1:8" x14ac:dyDescent="0.3">
      <c r="A38" s="53">
        <v>32992</v>
      </c>
      <c r="B38" s="53" t="s">
        <v>299</v>
      </c>
      <c r="C38" s="9" t="s">
        <v>306</v>
      </c>
      <c r="D38" s="20">
        <v>55</v>
      </c>
      <c r="E38" s="14">
        <f>D38/$G$38</f>
        <v>7.3627844712182061E-2</v>
      </c>
      <c r="F38" s="9" t="s">
        <v>242</v>
      </c>
      <c r="G38" s="56">
        <f>SUM(D38:D42)</f>
        <v>747</v>
      </c>
      <c r="H38" s="53" t="s">
        <v>243</v>
      </c>
    </row>
    <row r="39" spans="1:8" x14ac:dyDescent="0.3">
      <c r="A39" s="54"/>
      <c r="B39" s="54"/>
      <c r="C39" s="9" t="s">
        <v>305</v>
      </c>
      <c r="D39" s="20">
        <v>388</v>
      </c>
      <c r="E39" s="14">
        <f>D39/$G$38</f>
        <v>0.51941097724230256</v>
      </c>
      <c r="F39" s="9" t="s">
        <v>248</v>
      </c>
      <c r="G39" s="57"/>
      <c r="H39" s="54"/>
    </row>
    <row r="40" spans="1:8" x14ac:dyDescent="0.3">
      <c r="A40" s="54"/>
      <c r="B40" s="54"/>
      <c r="C40" s="9" t="s">
        <v>304</v>
      </c>
      <c r="D40" s="20">
        <v>208</v>
      </c>
      <c r="E40" s="14">
        <f>D40/$G$38</f>
        <v>0.27844712182061582</v>
      </c>
      <c r="F40" s="9" t="s">
        <v>247</v>
      </c>
      <c r="G40" s="57"/>
      <c r="H40" s="54"/>
    </row>
    <row r="41" spans="1:8" x14ac:dyDescent="0.3">
      <c r="A41" s="54"/>
      <c r="B41" s="54"/>
      <c r="C41" s="9" t="s">
        <v>303</v>
      </c>
      <c r="D41" s="20">
        <v>41</v>
      </c>
      <c r="E41" s="14">
        <f>D41/$G$38</f>
        <v>5.4886211512717539E-2</v>
      </c>
      <c r="F41" s="9" t="s">
        <v>245</v>
      </c>
      <c r="G41" s="57"/>
      <c r="H41" s="54"/>
    </row>
    <row r="42" spans="1:8" x14ac:dyDescent="0.3">
      <c r="A42" s="55"/>
      <c r="B42" s="55"/>
      <c r="C42" s="9" t="s">
        <v>302</v>
      </c>
      <c r="D42" s="20">
        <v>55</v>
      </c>
      <c r="E42" s="14">
        <f>D42/$G$38</f>
        <v>7.3627844712182061E-2</v>
      </c>
      <c r="F42" s="9" t="s">
        <v>241</v>
      </c>
      <c r="G42" s="58"/>
      <c r="H42" s="55"/>
    </row>
  </sheetData>
  <mergeCells count="24">
    <mergeCell ref="A30:A36"/>
    <mergeCell ref="B30:B36"/>
    <mergeCell ref="G30:G36"/>
    <mergeCell ref="H30:H36"/>
    <mergeCell ref="A38:A42"/>
    <mergeCell ref="B38:B42"/>
    <mergeCell ref="G38:G42"/>
    <mergeCell ref="H38:H42"/>
    <mergeCell ref="A15:A19"/>
    <mergeCell ref="B15:B19"/>
    <mergeCell ref="G15:G19"/>
    <mergeCell ref="H15:H19"/>
    <mergeCell ref="A23:A25"/>
    <mergeCell ref="B23:B25"/>
    <mergeCell ref="G23:G25"/>
    <mergeCell ref="H23:H25"/>
    <mergeCell ref="A2:A5"/>
    <mergeCell ref="B2:B5"/>
    <mergeCell ref="G2:G5"/>
    <mergeCell ref="H2:H5"/>
    <mergeCell ref="A7:A13"/>
    <mergeCell ref="B7:B13"/>
    <mergeCell ref="G7:G13"/>
    <mergeCell ref="H7:H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sem 32</vt:lpstr>
      <vt:lpstr>sem 33</vt:lpstr>
      <vt:lpstr>sem 34</vt:lpstr>
      <vt:lpstr>sem 35</vt:lpstr>
      <vt:lpstr>sem 36</vt:lpstr>
      <vt:lpstr>DETALLE MERMAS sem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2026-09-08T19:29:47Z</dcterms:modified>
</cp:coreProperties>
</file>