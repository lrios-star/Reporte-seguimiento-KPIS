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063CC6E5-4651-4398-ABFF-1CA45069120A}" xr6:coauthVersionLast="47" xr6:coauthVersionMax="47" xr10:uidLastSave="{00000000-0000-0000-0000-000000000000}"/>
  <bookViews>
    <workbookView xWindow="28680" yWindow="-120" windowWidth="29040" windowHeight="15720" activeTab="6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DETALLE MERMAS sem 37" sheetId="12" r:id="rId7"/>
  </sheets>
  <externalReferences>
    <externalReference r:id="rId8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2" l="1"/>
  <c r="G5" i="12"/>
  <c r="E5" i="12" s="1"/>
  <c r="E6" i="12"/>
  <c r="E7" i="12"/>
  <c r="E8" i="12"/>
  <c r="G10" i="12"/>
  <c r="E10" i="12" s="1"/>
  <c r="E11" i="12"/>
  <c r="E12" i="12"/>
  <c r="G15" i="12"/>
  <c r="E17" i="12"/>
  <c r="G20" i="12"/>
  <c r="E22" i="12"/>
  <c r="E23" i="12"/>
  <c r="G25" i="12"/>
  <c r="E27" i="12"/>
  <c r="E28" i="12"/>
  <c r="G30" i="12"/>
  <c r="G37" i="12"/>
  <c r="G41" i="12"/>
  <c r="E41" i="12" s="1"/>
  <c r="E42" i="12"/>
  <c r="E43" i="12"/>
  <c r="G45" i="12"/>
  <c r="E45" i="12" s="1"/>
  <c r="E46" i="12"/>
  <c r="E47" i="12"/>
  <c r="G49" i="12"/>
  <c r="E49" i="12" s="1"/>
  <c r="E50" i="12"/>
  <c r="E51" i="12"/>
  <c r="E52" i="12"/>
  <c r="G54" i="12"/>
  <c r="E54" i="12" s="1"/>
  <c r="E55" i="12"/>
  <c r="E56" i="12"/>
  <c r="E58" i="12"/>
  <c r="G58" i="12"/>
  <c r="E59" i="12"/>
  <c r="E60" i="12"/>
  <c r="E62" i="12"/>
  <c r="G62" i="12"/>
  <c r="E63" i="12"/>
  <c r="E64" i="12"/>
  <c r="G66" i="12"/>
  <c r="E66" i="12" s="1"/>
  <c r="E67" i="12"/>
  <c r="E68" i="12"/>
  <c r="G70" i="12"/>
  <c r="E70" i="12" s="1"/>
  <c r="E71" i="12"/>
  <c r="E72" i="12"/>
  <c r="E73" i="12"/>
  <c r="G75" i="12"/>
  <c r="G79" i="12"/>
  <c r="E79" i="12" s="1"/>
  <c r="E80" i="12"/>
  <c r="E81" i="12"/>
  <c r="E82" i="12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2" i="12" l="1"/>
  <c r="E3" i="12"/>
  <c r="E16" i="12"/>
  <c r="E15" i="12"/>
  <c r="E20" i="12"/>
  <c r="E21" i="12"/>
  <c r="E26" i="12"/>
  <c r="E25" i="12"/>
  <c r="E30" i="12"/>
  <c r="E32" i="12"/>
  <c r="E31" i="12"/>
  <c r="E34" i="12"/>
  <c r="E33" i="12"/>
  <c r="E37" i="12"/>
  <c r="E38" i="12"/>
  <c r="E39" i="12"/>
  <c r="E75" i="12"/>
  <c r="E76" i="12"/>
  <c r="E77" i="12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<sst xmlns="http://schemas.openxmlformats.org/spreadsheetml/2006/main" count="1187" uniqueCount="411">
  <si>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</si>
  <si>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</si>
  <si>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</si>
  <si>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</si>
  <si>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</si>
  <si>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</si>
  <si>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</si>
  <si>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</si>
  <si>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</si>
  <si>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</si>
  <si>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</si>
  <si>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</si>
  <si>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</si>
  <si>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</si>
  <si>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</si>
  <si>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</si>
  <si>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</si>
  <si>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</si>
  <si>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</si>
  <si>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</si>
  <si>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</si>
  <si>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</si>
  <si>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</si>
  <si>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</si>
  <si>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</si>
  <si>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</si>
  <si>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</si>
  <si>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</si>
  <si>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</si>
  <si>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</si>
  <si>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</si>
  <si>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</si>
  <si>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</si>
  <si>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</si>
  <si>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</si>
  <si>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</si>
  <si>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</si>
  <si>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</si>
  <si>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</si>
  <si>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</si>
  <si>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</si>
  <si>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</si>
  <si>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</si>
  <si>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</si>
  <si>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</si>
  <si>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</si>
  <si>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</si>
  <si>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</si>
  <si>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</si>
  <si>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</si>
  <si>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</si>
  <si>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</si>
  <si>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</si>
  <si>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</si>
  <si>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</si>
  <si>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</si>
  <si>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</si>
  <si>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</si>
  <si>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</si>
  <si>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</si>
  <si>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</si>
  <si>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</si>
  <si>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</si>
  <si>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</si>
  <si>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</si>
  <si>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</si>
  <si>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</si>
  <si>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</si>
  <si>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</si>
  <si>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</si>
  <si>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</si>
  <si>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</si>
  <si>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</si>
  <si>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</si>
  <si>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</si>
  <si>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</si>
  <si>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</si>
  <si>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</si>
  <si>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</si>
  <si>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</si>
  <si>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</si>
  <si>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</si>
  <si>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</si>
  <si>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</si>
  <si>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</si>
  <si>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</si>
  <si>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</si>
  <si>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</si>
  <si>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</si>
  <si>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</si>
  <si>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</si>
  <si>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</si>
  <si>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</si>
  <si>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</si>
  <si>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</si>
  <si>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</si>
  <si>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</si>
  <si>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</si>
  <si>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</si>
  <si>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</si>
  <si>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</si>
  <si>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</si>
  <si>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</si>
  <si>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</si>
  <si>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</si>
  <si>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</si>
  <si>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</si>
  <si>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</si>
  <si>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</si>
  <si>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</si>
  <si>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</si>
  <si>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</si>
  <si>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</si>
  <si>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</si>
  <si>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</si>
  <si>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</si>
  <si>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</si>
  <si>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</si>
  <si>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</si>
  <si>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</si>
  <si>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</si>
  <si>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</si>
  <si>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</si>
  <si>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</si>
  <si>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</si>
  <si>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</si>
  <si>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</si>
  <si>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</si>
  <si>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</si>
  <si>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</si>
  <si>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</si>
  <si>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</si>
  <si>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</si>
  <si>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</si>
  <si>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</si>
  <si>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</si>
  <si>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</si>
  <si>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</si>
  <si>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</si>
  <si>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</si>
  <si>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</si>
  <si>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</si>
  <si>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</si>
  <si>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</si>
  <si>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</si>
  <si>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</si>
  <si>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</si>
  <si>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</si>
  <si>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</si>
  <si>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</si>
  <si>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</si>
  <si>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</si>
  <si>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</si>
  <si>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</si>
  <si>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</si>
  <si>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</si>
  <si>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</si>
  <si>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</si>
  <si>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</si>
  <si>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</si>
  <si>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</si>
  <si>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</si>
  <si>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</si>
  <si>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</si>
  <si>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</si>
  <si>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</si>
  <si>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</si>
  <si>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</si>
  <si>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</si>
  <si>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</si>
  <si>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</si>
  <si>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</si>
  <si>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</si>
  <si>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</si>
  <si>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</si>
  <si>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</si>
  <si>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</si>
  <si>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</si>
  <si>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</si>
  <si>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</si>
  <si>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</si>
  <si>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</si>
  <si>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</si>
  <si>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</si>
  <si>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</si>
  <si>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</si>
  <si>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</si>
  <si>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</si>
  <si>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</si>
  <si>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</si>
  <si>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</si>
  <si>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</si>
  <si>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</si>
  <si>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</si>
  <si>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</si>
  <si>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</si>
  <si>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</si>
  <si>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</si>
  <si>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</si>
  <si>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</si>
  <si>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</si>
  <si>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</si>
  <si>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</si>
  <si>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</si>
  <si>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</si>
  <si>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</si>
  <si>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</si>
  <si>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</si>
  <si>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</si>
  <si>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</si>
  <si>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</si>
  <si>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</si>
  <si>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</si>
  <si>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</si>
  <si>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</si>
  <si>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</si>
  <si>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</si>
  <si>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</si>
  <si>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</si>
  <si>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</si>
  <si>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</si>
  <si>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</si>
  <si>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</si>
  <si>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</si>
  <si>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</si>
  <si>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</si>
  <si>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</si>
  <si>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</si>
  <si>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</si>
  <si>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</si>
  <si>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</si>
  <si>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</si>
  <si>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</si>
  <si>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</si>
  <si>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</si>
  <si>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</si>
  <si>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</si>
  <si>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</si>
  <si>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</si>
  <si>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</si>
  <si>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</si>
  <si>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PRUEBAS DE CALIDAD</t>
  </si>
  <si>
    <t>AJUSTE DE PROCESO</t>
  </si>
  <si>
    <t>UN</t>
  </si>
  <si>
    <t>FLECTACION</t>
  </si>
  <si>
    <t>CORTES EN MATERIAL</t>
  </si>
  <si>
    <t>MT</t>
  </si>
  <si>
    <t>DESCALCE</t>
  </si>
  <si>
    <t>AJUSTES POR VISTO BUENO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</si>
  <si>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</si>
  <si>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</si>
  <si>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</si>
  <si>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</si>
  <si>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</si>
  <si>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</si>
  <si>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</si>
  <si>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DIFERENCIA DE METROS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</si>
  <si>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</si>
  <si>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</si>
  <si>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</si>
  <si>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</si>
  <si>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</si>
  <si>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</si>
  <si>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</si>
  <si>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</si>
  <si>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</si>
  <si>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</si>
  <si>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</si>
  <si>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</si>
  <si>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</si>
  <si>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</si>
  <si>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</si>
  <si>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</si>
  <si>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</si>
  <si>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</si>
  <si>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</si>
  <si>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</si>
  <si>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</si>
  <si>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</si>
  <si>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</si>
  <si>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</si>
  <si>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</si>
  <si>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</si>
  <si>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</si>
  <si>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</si>
  <si>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</si>
  <si>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</si>
  <si>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</si>
  <si>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</si>
  <si>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</si>
  <si>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</si>
  <si>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</si>
  <si>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</si>
  <si>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</si>
  <si>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</si>
  <si>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</si>
  <si>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</si>
  <si>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</si>
  <si>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</si>
  <si>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</si>
  <si>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</si>
  <si>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FALLA MECANICA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</si>
  <si>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</si>
  <si>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</si>
  <si>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</si>
  <si>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</si>
  <si>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</si>
  <si>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</si>
  <si>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</si>
  <si>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</si>
  <si>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</si>
  <si>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</si>
  <si>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</si>
  <si>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</si>
  <si>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</si>
  <si>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</si>
  <si>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</si>
  <si>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</si>
  <si>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</si>
  <si>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</si>
  <si>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</si>
  <si>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</si>
  <si>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</si>
  <si>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</si>
  <si>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</si>
  <si>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</si>
  <si>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</si>
  <si>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</si>
  <si>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</si>
  <si>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</si>
  <si>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</si>
  <si>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</si>
  <si>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</si>
  <si>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</si>
  <si>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</si>
  <si>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</si>
  <si>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</si>
  <si>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</si>
  <si>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</si>
  <si>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</si>
  <si>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</si>
  <si>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</si>
  <si>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</si>
  <si>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</si>
  <si>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</si>
  <si>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</si>
  <si>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</si>
  <si>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</si>
  <si>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</si>
  <si>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</si>
  <si>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Se generan 16,4 metros de merma por pruebas de calidad</t>
  </si>
  <si>
    <t>Se generan 120.3 metros de merma por empalmes</t>
  </si>
  <si>
    <t>Se generan 168,2 metros de merma por descalce</t>
  </si>
  <si>
    <t>Se generan 305 metros de merma por ajuste de proceso</t>
  </si>
  <si>
    <t>se generan 24 unidades de merma por pruebas de calidad</t>
  </si>
  <si>
    <t>SELLO DEFECTUOSO</t>
  </si>
  <si>
    <t>se generan 193 unidades de merma por sello defectuoso</t>
  </si>
  <si>
    <t>se generan 40 unidades de merma por ajuste de proceso</t>
  </si>
  <si>
    <t>Se generan 67.2 metros de merma por pruebas de calidad</t>
  </si>
  <si>
    <t>Se generan 154 metros de merma por empalmes</t>
  </si>
  <si>
    <t>Se generan 456.5 metros de merma por descalce</t>
  </si>
  <si>
    <t>Se generan 252.1 metros de merma por ajuste de proceso</t>
  </si>
  <si>
    <t>Se generan 79 unidades de merma por pruebas de calidad</t>
  </si>
  <si>
    <t>Se generan 266 unidades de merma por ajustes de mantencion</t>
  </si>
  <si>
    <t>Se generan 106 unidades de merma por ajuste de proceso</t>
  </si>
  <si>
    <t>se producen 149 unidades por ajuste por visto buena</t>
  </si>
  <si>
    <t>se producen 149 unidades por ajuste proceso</t>
  </si>
  <si>
    <t>se producen 448 unidades por flectacion</t>
  </si>
  <si>
    <t>Se generan 297.7 metros de merma por pruebas de calidad</t>
  </si>
  <si>
    <t>Se generan 106.8 metros de merma por empalmes</t>
  </si>
  <si>
    <t>Se generan 95.4 metros de merma por descalce</t>
  </si>
  <si>
    <t>Se generan 16,1 metros de merma por descalce</t>
  </si>
  <si>
    <t>Se generan 5.6 metros de merma por ajuste de proceso</t>
  </si>
  <si>
    <t>Se generan 178,1 metros de merma por flectacion</t>
  </si>
  <si>
    <t>Se generan 75.8 metros de merma por empalmes</t>
  </si>
  <si>
    <t>Se generan 184.1 metros de merma por descalce</t>
  </si>
  <si>
    <t>Se generan 37,9 metros de merma por ajuste de proceso</t>
  </si>
  <si>
    <t>Se generan 27 metros de merma por diferencia de metros</t>
  </si>
  <si>
    <t>se generan 15 unidades de merma por pruebas de calidad</t>
  </si>
  <si>
    <t>se generan 45 unidades de merma por ajuste de proceso</t>
  </si>
  <si>
    <t>se generan 840 unidades de merma por flectacion</t>
  </si>
  <si>
    <t>se generan 100 unidades de merma por pruebas de calidad</t>
  </si>
  <si>
    <t>se generan 167 unidades de merma por empalmes</t>
  </si>
  <si>
    <t>se generan 1000 unidades de merma por ajuste de proceso</t>
  </si>
  <si>
    <t>se generan 258 metros de merma por empalmes</t>
  </si>
  <si>
    <t>se generan 590 metros de merma por descalce</t>
  </si>
  <si>
    <t>se generan 343 metros de merma por ajuste de proceso</t>
  </si>
  <si>
    <t>Se generan 5,3 metros de merma por empalmes</t>
  </si>
  <si>
    <t>Se generan 165,7 metros de merma por descalce</t>
  </si>
  <si>
    <t>Se generan 171 metros de merma por ajuste de proceso</t>
  </si>
  <si>
    <t>Se generan 8 metros de merma por diferencia de metros</t>
  </si>
  <si>
    <t>Se generan 74,8 metros de merma por flectacion</t>
  </si>
  <si>
    <t>Se generan 151,5 metros de merma por descalce</t>
  </si>
  <si>
    <t>Se generan 26.2 metros de merma por ajuste de proceso</t>
  </si>
  <si>
    <t>Se generan 214,1 metros de merma por flectacion</t>
  </si>
  <si>
    <t>se generan 46 unidades de merma por pruebas de calidad</t>
  </si>
  <si>
    <t>se generan 155 unidades de merma por sello defectuoso</t>
  </si>
  <si>
    <t>se generan 365 unidades de merma por ajuste de proceso</t>
  </si>
  <si>
    <t>se generan 464 unidades de merma por flectacion</t>
  </si>
  <si>
    <t>Se generan 194 unidades de merma por pruebas de calidad</t>
  </si>
  <si>
    <t>Se generan 139 unidades de merma por empalmes</t>
  </si>
  <si>
    <t>Se generan 640 unidades de merma por ajuste de proceso</t>
  </si>
  <si>
    <t>se generan 12 unidades de merma por pruebas de calidad</t>
  </si>
  <si>
    <t>se generan 2335 unidades de merma por sello defectuoso</t>
  </si>
  <si>
    <t>se generan 32 unidades de merma por ajuste de proceso</t>
  </si>
  <si>
    <t>Se generan 111 unidades de merma por pruebas de calidad</t>
  </si>
  <si>
    <t>Se generan 445 unidades de merma por empalmes</t>
  </si>
  <si>
    <t>Se generan 334 unidades de merma por ajuste de proceso</t>
  </si>
  <si>
    <t>Se generan 2898 unidades de merma por flectacion</t>
  </si>
  <si>
    <t>Se generan 814 unidades de merma por ajuste de proceso</t>
  </si>
  <si>
    <t>Se generan 5837 unidades de merma por flectacion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</si>
</sst>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41" fontId="0" fillId="0" borderId="0" xfId="1" applyFont="1" applyBorder="1" applyAlignment="1">
      <alignment vertical="center"/>
    </xf>
    <xf numFmtId="41" fontId="0" fillId="0" borderId="0" xfId="1" applyFont="1" applyAlignment="1">
      <alignment vertical="center"/>
    </xf>
    <xf numFmtId="41" fontId="0" fillId="0" borderId="7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41" fontId="0" fillId="0" borderId="2" xfId="1" applyFont="1" applyBorder="1"/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9" fontId="0" fillId="0" borderId="0" xfId="0" applyNumberFormat="1"/>
    <xf numFmtId="9" fontId="0" fillId="0" borderId="2" xfId="2" applyFont="1" applyBorder="1"/>
  </cellXfs>
  <cellStyles count="3">
    <cellStyle name="Millares [0]" xfId="1" builtinId="6"/>
    <cellStyle name="Normal" xfId="0" builtinId="0"/>
    <cellStyle name="Porcentaje" xfId="2" builtinId="5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file:///C:\Users\Usuario\Downloads\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DETALLE MERMAS 14-09"/>
      <sheetName val="OB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8" t="s">
        <v>119</v>
      </c>
      <c r="B1" s="58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15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8" t="s">
        <v>119</v>
      </c>
      <c r="B1" s="58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14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8" t="s">
        <v>119</v>
      </c>
      <c r="B1" s="58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13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8" t="s">
        <v>119</v>
      </c>
      <c r="B1" s="58"/>
      <c r="E1" s="23" t="s">
        <v>118</v>
      </c>
      <c r="F1" s="48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257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45"/>
      <c r="E10" s="9">
        <v>32963</v>
      </c>
      <c r="F10" s="32" t="s">
        <v>257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274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257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276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274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275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274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273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257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272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271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270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270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270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269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268</v>
      </c>
      <c r="G46" s="9" t="s">
        <v>267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261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266</v>
      </c>
      <c r="G51" s="9" t="s">
        <v>265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264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263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262</v>
      </c>
      <c r="G60" s="9" t="s">
        <v>261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262</v>
      </c>
      <c r="G61" s="9" t="s">
        <v>261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262</v>
      </c>
      <c r="G62" s="9" t="s">
        <v>261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260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259</v>
      </c>
      <c r="G65" s="9" t="s">
        <v>258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6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12" priority="3"/>
  </conditionalFormatting>
  <conditionalFormatting sqref="D7">
    <cfRule type="duplicateValues" dxfId="11" priority="2"/>
  </conditionalFormatting>
  <conditionalFormatting sqref="D8">
    <cfRule type="duplicateValues" dxfId="10" priority="1"/>
  </conditionalFormatting>
  <conditionalFormatting sqref="E2:E1048576">
    <cfRule type="duplicateValues" dxfId="9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8" t="s">
        <v>119</v>
      </c>
      <c r="B1" s="58"/>
      <c r="E1" s="23" t="s">
        <v>118</v>
      </c>
      <c r="F1" s="48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300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300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292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300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299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45"/>
      <c r="E10" s="9">
        <v>32992</v>
      </c>
      <c r="F10" s="32" t="s">
        <v>298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297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296</v>
      </c>
      <c r="G13" s="9" t="s">
        <v>295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280</v>
      </c>
      <c r="G14" s="9" t="s">
        <v>278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9">
        <f>B9-'[1]31-08'!B9</f>
        <v>6.1046003200982552E-4</v>
      </c>
      <c r="E15" s="9">
        <v>33095</v>
      </c>
      <c r="F15" s="32" t="s">
        <v>294</v>
      </c>
      <c r="G15" s="9" t="s">
        <v>293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292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286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291</v>
      </c>
      <c r="G18" s="9" t="s">
        <v>290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281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281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289</v>
      </c>
      <c r="G22" s="9" t="s">
        <v>278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288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287</v>
      </c>
      <c r="G24" s="9" t="s">
        <v>278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280</v>
      </c>
      <c r="G26" s="9" t="s">
        <v>278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286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285</v>
      </c>
      <c r="G30" s="9" t="s">
        <v>284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264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283</v>
      </c>
      <c r="G32" s="9" t="s">
        <v>282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281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280</v>
      </c>
      <c r="G37" s="9" t="s">
        <v>278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279</v>
      </c>
      <c r="G38" s="9" t="s">
        <v>278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6"/>
    </row>
  </sheetData>
  <autoFilter ref="E1:N1" xr:uid="{ED0A2852-B90F-4E5C-9DCF-FC384D5546E0}"/>
  <mergeCells count="1">
    <mergeCell ref="A1:B1"/>
  </mergeCells>
  <conditionalFormatting sqref="D2:D6">
    <cfRule type="duplicateValues" dxfId="8" priority="3"/>
  </conditionalFormatting>
  <conditionalFormatting sqref="D7">
    <cfRule type="duplicateValues" dxfId="7" priority="2"/>
  </conditionalFormatting>
  <conditionalFormatting sqref="D8">
    <cfRule type="duplicateValues" dxfId="6" priority="1"/>
  </conditionalFormatting>
  <conditionalFormatting sqref="E2:E41">
    <cfRule type="duplicateValues" dxfId="5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002060"/>
    <pageSetUpPr fitToPage="1"/>
  </sheetPr>
  <dimension ref="A1:N74"/>
  <sheetViews>
    <sheetView zoomScaleNormal="100" workbookViewId="0">
      <selection activeCell="N17" sqref="N17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59" bestFit="1" customWidth="1"/>
    <col min="13" max="13" width="23.21875" bestFit="1" customWidth="1"/>
    <col min="14" max="14" width="31" bestFit="1" customWidth="1"/>
  </cols>
  <sheetData>
    <row r="1" spans="1:14" x14ac:dyDescent="0.3">
      <c r="A1" s="58" t="s">
        <v>119</v>
      </c>
      <c r="B1" s="58"/>
      <c r="E1" s="23" t="s">
        <v>118</v>
      </c>
      <c r="F1" s="48" t="s">
        <v>117</v>
      </c>
      <c r="G1" s="23" t="s">
        <v>116</v>
      </c>
      <c r="H1" s="62" t="s">
        <v>115</v>
      </c>
      <c r="I1" s="23" t="s">
        <v>114</v>
      </c>
      <c r="J1" s="23" t="s">
        <v>113</v>
      </c>
      <c r="K1" s="23" t="s">
        <v>112</v>
      </c>
      <c r="L1" s="61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349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60">
        <f>K2/I2</f>
        <v>0.33600000000000002</v>
      </c>
      <c r="M2" s="12">
        <f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344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60">
        <f>K3/I3</f>
        <v>0.28852201257861637</v>
      </c>
      <c r="M3" s="12">
        <f>K3/$B$8</f>
        <v>9.7218543046357617E-2</v>
      </c>
      <c r="N3" s="9"/>
    </row>
    <row r="4" spans="1:14" x14ac:dyDescent="0.3">
      <c r="E4" s="9">
        <v>33167</v>
      </c>
      <c r="F4" s="32" t="s">
        <v>317</v>
      </c>
      <c r="G4" s="9" t="s">
        <v>316</v>
      </c>
      <c r="H4" s="8">
        <v>46275</v>
      </c>
      <c r="I4" s="7">
        <v>7600</v>
      </c>
      <c r="J4" s="7">
        <v>6175</v>
      </c>
      <c r="K4" s="7">
        <v>1425</v>
      </c>
      <c r="L4" s="60">
        <f>K4/I4</f>
        <v>0.1875</v>
      </c>
      <c r="M4" s="12">
        <f>K4/$B$8</f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348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60">
        <f>K5/I5</f>
        <v>0.14363207547169812</v>
      </c>
      <c r="M5" s="12">
        <f>K5/$B$8</f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347</v>
      </c>
      <c r="G6" s="9" t="s">
        <v>346</v>
      </c>
      <c r="H6" s="8">
        <v>46272</v>
      </c>
      <c r="I6" s="7">
        <v>1900</v>
      </c>
      <c r="J6" s="7">
        <v>1668</v>
      </c>
      <c r="K6" s="7">
        <v>232</v>
      </c>
      <c r="L6" s="60">
        <f>K6/I6</f>
        <v>0.12210526315789473</v>
      </c>
      <c r="M6" s="12">
        <f>K6/$B$8</f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345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60">
        <f>K7/I7</f>
        <v>0.11103286384976525</v>
      </c>
      <c r="M7" s="12">
        <f>K7/$B$8</f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343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60">
        <f>K8/I8</f>
        <v>9.5238095238095233E-2</v>
      </c>
      <c r="M8" s="12">
        <f>K8/$B$8</f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343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60">
        <f>K9/I9</f>
        <v>8.8541666666666671E-2</v>
      </c>
      <c r="M9" s="12">
        <f>K9/$B$8</f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45"/>
      <c r="E10" s="9">
        <v>32970</v>
      </c>
      <c r="F10" s="32" t="s">
        <v>257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60">
        <f>K10/I10</f>
        <v>7.4437500000000004E-2</v>
      </c>
      <c r="M10" s="12">
        <f>K10/$B$8</f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329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60">
        <f>K11/I11</f>
        <v>7.0624999999999993E-2</v>
      </c>
      <c r="M11" s="12">
        <f>K11/$B$8</f>
        <v>2.3947019867549667E-2</v>
      </c>
      <c r="N11" s="9"/>
    </row>
    <row r="12" spans="1:14" x14ac:dyDescent="0.3">
      <c r="E12" s="9">
        <v>33122</v>
      </c>
      <c r="F12" s="32" t="s">
        <v>344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60">
        <f>K12/I12</f>
        <v>6.8553459119496854E-2</v>
      </c>
      <c r="M12" s="12">
        <f>K12/$B$8</f>
        <v>2.309933774834437E-2</v>
      </c>
      <c r="N12" s="9"/>
    </row>
    <row r="13" spans="1:14" x14ac:dyDescent="0.3">
      <c r="E13" s="9">
        <v>32999</v>
      </c>
      <c r="F13" s="32" t="s">
        <v>343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60">
        <f>K13/I13</f>
        <v>6.7708333333333329E-2</v>
      </c>
      <c r="M13" s="12">
        <f>K13/$B$8</f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343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60">
        <f>K14/I14</f>
        <v>6.6666666666666666E-2</v>
      </c>
      <c r="M14" s="12">
        <f>K14/$B$8</f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342</v>
      </c>
      <c r="G15" s="9" t="s">
        <v>321</v>
      </c>
      <c r="H15" s="8">
        <v>46276</v>
      </c>
      <c r="I15" s="7">
        <v>8000</v>
      </c>
      <c r="J15" s="7">
        <v>7500</v>
      </c>
      <c r="K15" s="7">
        <v>500</v>
      </c>
      <c r="L15" s="60">
        <f>K15/I15</f>
        <v>6.25E-2</v>
      </c>
      <c r="M15" s="12">
        <f>K15/$B$8</f>
        <v>2.6490066225165563E-2</v>
      </c>
      <c r="N15" s="9"/>
    </row>
    <row r="16" spans="1:14" x14ac:dyDescent="0.3">
      <c r="E16" s="9">
        <v>33123</v>
      </c>
      <c r="F16" s="32" t="s">
        <v>341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60">
        <f>K16/I16</f>
        <v>6.2971698113207547E-2</v>
      </c>
      <c r="M16" s="12">
        <f>K16/$B$8</f>
        <v>1.414569536423841E-2</v>
      </c>
      <c r="N16" s="9"/>
    </row>
    <row r="17" spans="5:14" x14ac:dyDescent="0.3">
      <c r="E17" s="9">
        <v>33145</v>
      </c>
      <c r="F17" s="32" t="s">
        <v>315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60">
        <f>K17/I17</f>
        <v>0.06</v>
      </c>
      <c r="M17" s="12">
        <f>K17/$B$8</f>
        <v>4.7682119205298013E-3</v>
      </c>
      <c r="N17" s="9"/>
    </row>
    <row r="18" spans="5:14" x14ac:dyDescent="0.3">
      <c r="E18" s="9">
        <v>33119</v>
      </c>
      <c r="F18" s="32" t="s">
        <v>340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60">
        <f>K18/I18</f>
        <v>5.8000000000000003E-2</v>
      </c>
      <c r="M18" s="12">
        <f>K18/$B$8</f>
        <v>6.1456953642384108E-3</v>
      </c>
      <c r="N18" s="9"/>
    </row>
    <row r="19" spans="5:14" x14ac:dyDescent="0.3">
      <c r="E19" s="22">
        <v>33158</v>
      </c>
      <c r="F19" s="32" t="s">
        <v>339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60">
        <f>K19/I19</f>
        <v>5.2894736842105265E-2</v>
      </c>
      <c r="M19" s="12">
        <f>K19/$B$8</f>
        <v>1.0649006622516556E-2</v>
      </c>
      <c r="N19" s="9"/>
    </row>
    <row r="20" spans="5:14" x14ac:dyDescent="0.3">
      <c r="E20" s="22">
        <v>33154</v>
      </c>
      <c r="F20" s="32" t="s">
        <v>338</v>
      </c>
      <c r="G20" s="9" t="s">
        <v>337</v>
      </c>
      <c r="H20" s="8">
        <v>46274</v>
      </c>
      <c r="I20" s="9">
        <v>2100</v>
      </c>
      <c r="J20" s="9">
        <v>1989</v>
      </c>
      <c r="K20" s="9">
        <v>111</v>
      </c>
      <c r="L20" s="60">
        <f>K20/I20</f>
        <v>5.2857142857142859E-2</v>
      </c>
      <c r="M20" s="12">
        <f>K20/$B$8</f>
        <v>5.8807947019867551E-3</v>
      </c>
      <c r="N20" s="9"/>
    </row>
    <row r="21" spans="5:14" x14ac:dyDescent="0.3">
      <c r="E21" s="9">
        <v>33083</v>
      </c>
      <c r="F21" s="32" t="s">
        <v>336</v>
      </c>
      <c r="G21" s="9" t="s">
        <v>335</v>
      </c>
      <c r="H21" s="8">
        <v>46273</v>
      </c>
      <c r="I21" s="7">
        <v>18000</v>
      </c>
      <c r="J21" s="7">
        <v>17070</v>
      </c>
      <c r="K21" s="7">
        <v>930</v>
      </c>
      <c r="L21" s="60">
        <f>K21/I21</f>
        <v>5.1666666666666666E-2</v>
      </c>
      <c r="M21" s="12">
        <f>K21/$B$8</f>
        <v>4.9271523178807945E-2</v>
      </c>
      <c r="N21" s="9"/>
    </row>
    <row r="22" spans="5:14" x14ac:dyDescent="0.3">
      <c r="E22" s="9">
        <v>33159</v>
      </c>
      <c r="F22" s="32" t="s">
        <v>334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60">
        <f>K22/I22</f>
        <v>5.0789473684210523E-2</v>
      </c>
      <c r="M22" s="12">
        <f>K22/$B$8</f>
        <v>1.0225165562913908E-2</v>
      </c>
      <c r="N22" s="9"/>
    </row>
    <row r="23" spans="5:14" x14ac:dyDescent="0.3">
      <c r="E23" s="22">
        <v>32960</v>
      </c>
      <c r="F23" s="32" t="s">
        <v>257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60">
        <f>K23/I23</f>
        <v>4.7875000000000001E-2</v>
      </c>
      <c r="M23" s="12">
        <f>K23/$B$8</f>
        <v>4.058278145695364E-2</v>
      </c>
      <c r="N23" s="9"/>
    </row>
    <row r="24" spans="5:14" x14ac:dyDescent="0.3">
      <c r="E24" s="9">
        <v>32957</v>
      </c>
      <c r="F24" s="32" t="s">
        <v>333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60">
        <f>K24/I24</f>
        <v>4.8412698412698414E-2</v>
      </c>
      <c r="M24" s="12">
        <f>K24/$B$8</f>
        <v>3.2317880794701985E-2</v>
      </c>
      <c r="N24" s="9"/>
    </row>
    <row r="25" spans="5:14" x14ac:dyDescent="0.3">
      <c r="E25" s="9">
        <v>33140</v>
      </c>
      <c r="F25" s="32" t="s">
        <v>330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60">
        <f>K25/I25</f>
        <v>4.2129629629629628E-2</v>
      </c>
      <c r="M25" s="5">
        <f>K25/$B$8</f>
        <v>1.928476821192053E-2</v>
      </c>
      <c r="N25" s="9"/>
    </row>
    <row r="26" spans="5:14" x14ac:dyDescent="0.3">
      <c r="E26" s="9">
        <v>33091</v>
      </c>
      <c r="F26" s="32" t="s">
        <v>325</v>
      </c>
      <c r="G26" s="9" t="s">
        <v>321</v>
      </c>
      <c r="H26" s="8">
        <v>46274</v>
      </c>
      <c r="I26" s="7">
        <v>10000</v>
      </c>
      <c r="J26" s="7">
        <v>9600</v>
      </c>
      <c r="K26" s="7">
        <v>400</v>
      </c>
      <c r="L26" s="60">
        <f>K26/I26</f>
        <v>0.04</v>
      </c>
      <c r="M26" s="5">
        <f>K26/$B$8</f>
        <v>2.119205298013245E-2</v>
      </c>
      <c r="N26" s="9"/>
    </row>
    <row r="27" spans="5:14" x14ac:dyDescent="0.3">
      <c r="E27" s="9">
        <v>33126</v>
      </c>
      <c r="F27" s="32" t="s">
        <v>292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60">
        <f>K27/I27</f>
        <v>3.898305084745763E-2</v>
      </c>
      <c r="M27" s="5">
        <f>K27/$B$8</f>
        <v>1.3403973509933775E-2</v>
      </c>
      <c r="N27" s="9"/>
    </row>
    <row r="28" spans="5:14" x14ac:dyDescent="0.3">
      <c r="E28" s="9">
        <v>33090</v>
      </c>
      <c r="F28" s="32" t="s">
        <v>325</v>
      </c>
      <c r="G28" s="9" t="s">
        <v>321</v>
      </c>
      <c r="H28" s="8">
        <v>46275</v>
      </c>
      <c r="I28" s="7">
        <v>12000</v>
      </c>
      <c r="J28" s="7">
        <v>11550</v>
      </c>
      <c r="K28" s="7">
        <v>450</v>
      </c>
      <c r="L28" s="60">
        <f>K28/I28</f>
        <v>3.7499999999999999E-2</v>
      </c>
      <c r="M28" s="5">
        <f>K28/$B$8</f>
        <v>2.3841059602649008E-2</v>
      </c>
      <c r="N28" s="9"/>
    </row>
    <row r="29" spans="5:14" x14ac:dyDescent="0.3">
      <c r="E29" s="9">
        <v>33135</v>
      </c>
      <c r="F29" s="32" t="s">
        <v>320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60">
        <f>K29/I29</f>
        <v>3.7999999999999999E-2</v>
      </c>
      <c r="M29" s="5">
        <f>K29/$B$8</f>
        <v>1.9125827814569535E-2</v>
      </c>
      <c r="N29" s="9"/>
    </row>
    <row r="30" spans="5:14" x14ac:dyDescent="0.3">
      <c r="E30" s="9">
        <v>33194</v>
      </c>
      <c r="F30" s="32" t="s">
        <v>332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60">
        <f>K30/I30</f>
        <v>3.7499999999999999E-2</v>
      </c>
      <c r="M30" s="5">
        <f>K30/$B$8</f>
        <v>1.1920529801324504E-2</v>
      </c>
      <c r="N30" s="9"/>
    </row>
    <row r="31" spans="5:14" x14ac:dyDescent="0.3">
      <c r="E31" s="9">
        <v>33155</v>
      </c>
      <c r="F31" s="32" t="s">
        <v>289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60">
        <f>K31/I31</f>
        <v>3.8095238095238099E-2</v>
      </c>
      <c r="M31" s="5">
        <f>K31/$B$8</f>
        <v>4.2384105960264901E-3</v>
      </c>
      <c r="N31" s="9"/>
    </row>
    <row r="32" spans="5:14" x14ac:dyDescent="0.3">
      <c r="E32" s="9">
        <v>33131</v>
      </c>
      <c r="F32" s="32" t="s">
        <v>327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60">
        <f>K32/I32</f>
        <v>3.2870370370370369E-2</v>
      </c>
      <c r="M32" s="5">
        <f>K32/$B$8</f>
        <v>1.504635761589404E-2</v>
      </c>
      <c r="N32" s="9"/>
    </row>
    <row r="33" spans="5:14" x14ac:dyDescent="0.3">
      <c r="E33" s="9">
        <v>33160</v>
      </c>
      <c r="F33" s="32" t="s">
        <v>331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60">
        <f>K33/I33</f>
        <v>3.318181818181818E-2</v>
      </c>
      <c r="M33" s="5">
        <f>K33/$B$8</f>
        <v>3.8675496688741723E-3</v>
      </c>
      <c r="N33" s="9"/>
    </row>
    <row r="34" spans="5:14" x14ac:dyDescent="0.3">
      <c r="E34" s="9">
        <v>33120</v>
      </c>
      <c r="F34" s="32" t="s">
        <v>294</v>
      </c>
      <c r="G34" s="9" t="s">
        <v>293</v>
      </c>
      <c r="H34" s="8">
        <v>46273</v>
      </c>
      <c r="I34" s="9">
        <v>3800</v>
      </c>
      <c r="J34" s="9">
        <v>3680</v>
      </c>
      <c r="K34" s="9">
        <v>120</v>
      </c>
      <c r="L34" s="60">
        <f>K34/I34</f>
        <v>3.1578947368421054E-2</v>
      </c>
      <c r="M34" s="5">
        <f>K34/$B$8</f>
        <v>6.3576158940397351E-3</v>
      </c>
      <c r="N34" s="9"/>
    </row>
    <row r="35" spans="5:14" x14ac:dyDescent="0.3">
      <c r="E35" s="9">
        <v>33165</v>
      </c>
      <c r="F35" s="32" t="s">
        <v>317</v>
      </c>
      <c r="G35" s="9" t="s">
        <v>316</v>
      </c>
      <c r="H35" s="8">
        <v>46275</v>
      </c>
      <c r="I35" s="7">
        <v>7600</v>
      </c>
      <c r="J35" s="7">
        <v>7366</v>
      </c>
      <c r="K35" s="7">
        <v>234</v>
      </c>
      <c r="L35" s="60">
        <f>K35/I35</f>
        <v>3.0789473684210526E-2</v>
      </c>
      <c r="M35" s="5">
        <f>K35/$B$8</f>
        <v>1.2397350993377484E-2</v>
      </c>
      <c r="N35" s="9"/>
    </row>
    <row r="36" spans="5:14" x14ac:dyDescent="0.3">
      <c r="E36" s="9">
        <v>33141</v>
      </c>
      <c r="F36" s="32" t="s">
        <v>330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60">
        <f>K36/I36</f>
        <v>2.9716981132075472E-2</v>
      </c>
      <c r="M36" s="5">
        <f>K36/$B$8</f>
        <v>1.0013245033112583E-2</v>
      </c>
      <c r="N36" s="9"/>
    </row>
    <row r="37" spans="5:14" x14ac:dyDescent="0.3">
      <c r="E37" s="9">
        <v>33130</v>
      </c>
      <c r="F37" s="32" t="s">
        <v>327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60">
        <f>K37/I37</f>
        <v>2.9268292682926831E-2</v>
      </c>
      <c r="M37" s="5">
        <f>K37/$B$8</f>
        <v>1.3350993377483444E-2</v>
      </c>
      <c r="N37" s="9"/>
    </row>
    <row r="38" spans="5:14" x14ac:dyDescent="0.3">
      <c r="E38" s="9">
        <v>33163</v>
      </c>
      <c r="F38" s="32" t="s">
        <v>317</v>
      </c>
      <c r="G38" s="9" t="s">
        <v>316</v>
      </c>
      <c r="H38" s="8">
        <v>46275</v>
      </c>
      <c r="I38" s="7">
        <v>7600</v>
      </c>
      <c r="J38" s="7">
        <v>7381</v>
      </c>
      <c r="K38" s="7">
        <v>219</v>
      </c>
      <c r="L38" s="60">
        <f>K38/I38</f>
        <v>2.8815789473684211E-2</v>
      </c>
      <c r="M38" s="5">
        <f>K38/$B$8</f>
        <v>1.1602649006622516E-2</v>
      </c>
      <c r="N38" s="9"/>
    </row>
    <row r="39" spans="5:14" x14ac:dyDescent="0.3">
      <c r="E39" s="9">
        <v>33096</v>
      </c>
      <c r="F39" s="32" t="s">
        <v>294</v>
      </c>
      <c r="G39" s="9" t="s">
        <v>293</v>
      </c>
      <c r="H39" s="8">
        <v>46273</v>
      </c>
      <c r="I39" s="9">
        <v>3800</v>
      </c>
      <c r="J39" s="9">
        <v>3691</v>
      </c>
      <c r="K39" s="9">
        <v>109</v>
      </c>
      <c r="L39" s="60">
        <f>K39/I39</f>
        <v>2.8684210526315788E-2</v>
      </c>
      <c r="M39" s="5">
        <f>K39/$B$8</f>
        <v>5.7748344370860925E-3</v>
      </c>
      <c r="N39" s="9"/>
    </row>
    <row r="40" spans="5:14" x14ac:dyDescent="0.3">
      <c r="E40" s="9">
        <v>33139</v>
      </c>
      <c r="F40" s="32" t="s">
        <v>329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60">
        <f>K40/I40</f>
        <v>2.6100628930817611E-2</v>
      </c>
      <c r="M40" s="5">
        <f>K40/$B$8</f>
        <v>8.7947019867549662E-3</v>
      </c>
      <c r="N40" s="9"/>
    </row>
    <row r="41" spans="5:14" x14ac:dyDescent="0.3">
      <c r="E41" s="9">
        <v>33128</v>
      </c>
      <c r="F41" s="32" t="s">
        <v>327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60">
        <f>K41/I41</f>
        <v>2.5406032482598609E-2</v>
      </c>
      <c r="M41" s="5">
        <f>K41/$B$8</f>
        <v>1.1602649006622516E-2</v>
      </c>
      <c r="N41" s="9"/>
    </row>
    <row r="42" spans="5:14" x14ac:dyDescent="0.3">
      <c r="E42" s="9">
        <v>33137</v>
      </c>
      <c r="F42" s="9" t="s">
        <v>320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60">
        <f>K42/I42</f>
        <v>2.2982456140350879E-2</v>
      </c>
      <c r="M42" s="5">
        <f>K42/$B$8</f>
        <v>6.9403973509933777E-3</v>
      </c>
      <c r="N42" s="9"/>
    </row>
    <row r="43" spans="5:14" x14ac:dyDescent="0.3">
      <c r="E43" s="9">
        <v>33089</v>
      </c>
      <c r="F43" s="9" t="s">
        <v>328</v>
      </c>
      <c r="G43" s="9" t="s">
        <v>321</v>
      </c>
      <c r="H43" s="8">
        <v>46275</v>
      </c>
      <c r="I43" s="7">
        <v>12000</v>
      </c>
      <c r="J43" s="7">
        <v>11750</v>
      </c>
      <c r="K43" s="7">
        <v>250</v>
      </c>
      <c r="L43" s="60">
        <f>K43/I43</f>
        <v>2.0833333333333332E-2</v>
      </c>
      <c r="M43" s="5">
        <f>K43/$B$8</f>
        <v>1.3245033112582781E-2</v>
      </c>
      <c r="N43" s="9"/>
    </row>
    <row r="44" spans="5:14" x14ac:dyDescent="0.3">
      <c r="E44" s="9">
        <v>33127</v>
      </c>
      <c r="F44" s="9" t="s">
        <v>327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60">
        <f>K44/I44</f>
        <v>2.0716510903426792E-2</v>
      </c>
      <c r="M44" s="5">
        <f>K44/$B$8</f>
        <v>7.0463576158940394E-3</v>
      </c>
      <c r="N44" s="9"/>
    </row>
    <row r="45" spans="5:14" x14ac:dyDescent="0.3">
      <c r="E45" s="9">
        <v>33093</v>
      </c>
      <c r="F45" s="9" t="s">
        <v>322</v>
      </c>
      <c r="G45" s="9" t="s">
        <v>321</v>
      </c>
      <c r="H45" s="8">
        <v>46275</v>
      </c>
      <c r="I45" s="7">
        <v>10000</v>
      </c>
      <c r="J45" s="7">
        <v>9800</v>
      </c>
      <c r="K45" s="7">
        <v>200</v>
      </c>
      <c r="L45" s="60">
        <f>K45/I45</f>
        <v>0.02</v>
      </c>
      <c r="M45" s="5">
        <f>K45/$B$8</f>
        <v>1.0596026490066225E-2</v>
      </c>
      <c r="N45" s="9"/>
    </row>
    <row r="46" spans="5:14" x14ac:dyDescent="0.3">
      <c r="E46" s="9">
        <v>33129</v>
      </c>
      <c r="F46" s="9" t="s">
        <v>327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60">
        <f>K46/I46</f>
        <v>1.8514150943396226E-2</v>
      </c>
      <c r="M46" s="5">
        <f>K46/$B$8</f>
        <v>8.3178807947019862E-3</v>
      </c>
      <c r="N46" s="9"/>
    </row>
    <row r="47" spans="5:14" x14ac:dyDescent="0.3">
      <c r="E47" s="9">
        <v>33088</v>
      </c>
      <c r="F47" s="9" t="s">
        <v>326</v>
      </c>
      <c r="G47" s="9" t="s">
        <v>321</v>
      </c>
      <c r="H47" s="8">
        <v>46275</v>
      </c>
      <c r="I47" s="7">
        <v>8000</v>
      </c>
      <c r="J47" s="7">
        <v>7850</v>
      </c>
      <c r="K47" s="7">
        <v>150</v>
      </c>
      <c r="L47" s="60">
        <f>K47/I47</f>
        <v>1.8749999999999999E-2</v>
      </c>
      <c r="M47" s="5">
        <f>K47/$B$8</f>
        <v>7.9470198675496689E-3</v>
      </c>
      <c r="N47" s="9"/>
    </row>
    <row r="48" spans="5:14" x14ac:dyDescent="0.3">
      <c r="E48" s="9">
        <v>33132</v>
      </c>
      <c r="F48" s="9" t="s">
        <v>323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60">
        <f>K48/I48</f>
        <v>1.7999999999999999E-2</v>
      </c>
      <c r="M48" s="5">
        <f>K48/$B$8</f>
        <v>9.0596026490066227E-3</v>
      </c>
      <c r="N48" s="9"/>
    </row>
    <row r="49" spans="5:14" x14ac:dyDescent="0.3">
      <c r="E49" s="9">
        <v>33085</v>
      </c>
      <c r="F49" s="9" t="s">
        <v>325</v>
      </c>
      <c r="G49" s="9" t="s">
        <v>321</v>
      </c>
      <c r="H49" s="8">
        <v>46274</v>
      </c>
      <c r="I49" s="7">
        <v>16000</v>
      </c>
      <c r="J49" s="7">
        <v>15750</v>
      </c>
      <c r="K49" s="7">
        <v>250</v>
      </c>
      <c r="L49" s="60">
        <f>K49/I49</f>
        <v>1.5625E-2</v>
      </c>
      <c r="M49" s="5">
        <f>K49/$B$8</f>
        <v>1.3245033112582781E-2</v>
      </c>
      <c r="N49" s="9"/>
    </row>
    <row r="50" spans="5:14" x14ac:dyDescent="0.3">
      <c r="E50" s="9">
        <v>33086</v>
      </c>
      <c r="F50" s="9" t="s">
        <v>324</v>
      </c>
      <c r="G50" s="9" t="s">
        <v>321</v>
      </c>
      <c r="H50" s="8">
        <v>46275</v>
      </c>
      <c r="I50" s="7">
        <v>16000</v>
      </c>
      <c r="J50" s="7">
        <v>15750</v>
      </c>
      <c r="K50" s="7">
        <v>250</v>
      </c>
      <c r="L50" s="60">
        <f>K50/I50</f>
        <v>1.5625E-2</v>
      </c>
      <c r="M50" s="5">
        <f>K50/$B$8</f>
        <v>1.3245033112582781E-2</v>
      </c>
      <c r="N50" s="9"/>
    </row>
    <row r="51" spans="5:14" x14ac:dyDescent="0.3">
      <c r="E51" s="9">
        <v>33133</v>
      </c>
      <c r="F51" s="9" t="s">
        <v>323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60">
        <f>K51/I51</f>
        <v>1.4631578947368421E-2</v>
      </c>
      <c r="M51" s="5">
        <f>K51/$B$8</f>
        <v>7.3642384105960263E-3</v>
      </c>
      <c r="N51" s="9"/>
    </row>
    <row r="52" spans="5:14" x14ac:dyDescent="0.3">
      <c r="E52" s="9">
        <v>33134</v>
      </c>
      <c r="F52" s="9" t="s">
        <v>323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60">
        <f>K52/I52</f>
        <v>1.4385964912280702E-2</v>
      </c>
      <c r="M52" s="5">
        <f>K52/$B$8</f>
        <v>4.3443708609271527E-3</v>
      </c>
      <c r="N52" s="9"/>
    </row>
    <row r="53" spans="5:14" x14ac:dyDescent="0.3">
      <c r="E53" s="9">
        <v>33092</v>
      </c>
      <c r="F53" s="9" t="s">
        <v>322</v>
      </c>
      <c r="G53" s="9" t="s">
        <v>321</v>
      </c>
      <c r="H53" s="8">
        <v>46275</v>
      </c>
      <c r="I53" s="9">
        <v>12000</v>
      </c>
      <c r="J53" s="9">
        <v>11850</v>
      </c>
      <c r="K53" s="9">
        <v>150</v>
      </c>
      <c r="L53" s="60">
        <f>K53/I53</f>
        <v>1.2500000000000001E-2</v>
      </c>
      <c r="M53" s="5">
        <f>K53/$B$8</f>
        <v>7.9470198675496689E-3</v>
      </c>
      <c r="N53" s="9"/>
    </row>
    <row r="54" spans="5:14" x14ac:dyDescent="0.3">
      <c r="E54" s="9">
        <v>33136</v>
      </c>
      <c r="F54" s="9" t="s">
        <v>320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60">
        <f>K54/I54</f>
        <v>1.3052631578947368E-2</v>
      </c>
      <c r="M54" s="5">
        <f>K54/$B$8</f>
        <v>6.5695364238410594E-3</v>
      </c>
      <c r="N54" s="9"/>
    </row>
    <row r="55" spans="5:14" x14ac:dyDescent="0.3">
      <c r="E55" s="9">
        <v>33148</v>
      </c>
      <c r="F55" s="9" t="s">
        <v>319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60">
        <f>K55/I55</f>
        <v>1.2500000000000001E-2</v>
      </c>
      <c r="M55" s="5">
        <f>K55/$B$8</f>
        <v>4.7682119205298013E-3</v>
      </c>
      <c r="N55" s="9"/>
    </row>
    <row r="56" spans="5:14" x14ac:dyDescent="0.3">
      <c r="E56" s="9">
        <v>33156</v>
      </c>
      <c r="F56" s="9" t="s">
        <v>318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60">
        <f>K56/I56</f>
        <v>1.3421052631578948E-2</v>
      </c>
      <c r="M56" s="5">
        <f>K56/$B$8</f>
        <v>2.7019867549668876E-3</v>
      </c>
      <c r="N56" s="9"/>
    </row>
    <row r="57" spans="5:14" x14ac:dyDescent="0.3">
      <c r="E57" s="9">
        <v>33166</v>
      </c>
      <c r="F57" s="9" t="s">
        <v>317</v>
      </c>
      <c r="G57" s="9" t="s">
        <v>316</v>
      </c>
      <c r="H57" s="8">
        <v>46275</v>
      </c>
      <c r="I57" s="9">
        <v>7600</v>
      </c>
      <c r="J57" s="9">
        <v>7534</v>
      </c>
      <c r="K57" s="9">
        <v>66</v>
      </c>
      <c r="L57" s="60">
        <f>K57/I57</f>
        <v>8.6842105263157891E-3</v>
      </c>
      <c r="M57" s="5">
        <f>K57/$B$8</f>
        <v>3.4966887417218545E-3</v>
      </c>
      <c r="N57" s="9"/>
    </row>
    <row r="58" spans="5:14" x14ac:dyDescent="0.3">
      <c r="E58" s="9">
        <v>33205</v>
      </c>
      <c r="F58" s="9" t="s">
        <v>315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60">
        <f>K58/I58</f>
        <v>8.0000000000000002E-3</v>
      </c>
      <c r="M58" s="5">
        <f>K58/$B$8</f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60">
        <f>K59/I59</f>
        <v>2.8571428571428571E-3</v>
      </c>
      <c r="M59" s="5">
        <f>K59/$B$8</f>
        <v>6.3576158940397353E-4</v>
      </c>
      <c r="N59" s="9"/>
    </row>
    <row r="60" spans="5:14" x14ac:dyDescent="0.3">
      <c r="E60" s="9">
        <v>33142</v>
      </c>
      <c r="F60" s="9" t="s">
        <v>314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60">
        <f>K60/I60</f>
        <v>0</v>
      </c>
      <c r="M60" s="5">
        <f>K60/$B$8</f>
        <v>0</v>
      </c>
      <c r="N60" s="9"/>
    </row>
    <row r="61" spans="5:14" x14ac:dyDescent="0.3">
      <c r="E61" s="9">
        <v>33143</v>
      </c>
      <c r="F61" s="9" t="s">
        <v>308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60">
        <f>K61/I61</f>
        <v>0</v>
      </c>
      <c r="M61" s="5">
        <f>K61/$B$8</f>
        <v>0</v>
      </c>
      <c r="N61" s="9"/>
    </row>
    <row r="62" spans="5:14" x14ac:dyDescent="0.3">
      <c r="E62" s="9">
        <v>33144</v>
      </c>
      <c r="F62" s="9" t="s">
        <v>305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60">
        <f>K62/I62</f>
        <v>0</v>
      </c>
      <c r="M62" s="5">
        <f>K62/$B$8</f>
        <v>0</v>
      </c>
      <c r="N62" s="9"/>
    </row>
    <row r="63" spans="5:14" x14ac:dyDescent="0.3">
      <c r="E63" s="9">
        <v>33146</v>
      </c>
      <c r="F63" s="9" t="s">
        <v>313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60">
        <f>K63/I63</f>
        <v>0</v>
      </c>
      <c r="M63" s="5">
        <f>K63/$B$8</f>
        <v>0</v>
      </c>
      <c r="N63" s="9"/>
    </row>
    <row r="64" spans="5:14" x14ac:dyDescent="0.3">
      <c r="E64" s="9">
        <v>33150</v>
      </c>
      <c r="F64" s="9" t="s">
        <v>312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60">
        <f>K64/I64</f>
        <v>0</v>
      </c>
      <c r="M64" s="5">
        <f>K64/$B$8</f>
        <v>0</v>
      </c>
      <c r="N64" s="9"/>
    </row>
    <row r="65" spans="5:14" x14ac:dyDescent="0.3">
      <c r="E65" s="9">
        <v>33151</v>
      </c>
      <c r="F65" s="9" t="s">
        <v>311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60">
        <f>K65/I65</f>
        <v>0</v>
      </c>
      <c r="M65" s="5">
        <f>K65/$B$8</f>
        <v>0</v>
      </c>
      <c r="N65" s="9"/>
    </row>
    <row r="66" spans="5:14" x14ac:dyDescent="0.3">
      <c r="E66" s="9">
        <v>33152</v>
      </c>
      <c r="F66" s="9" t="s">
        <v>310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60">
        <f>K66/I66</f>
        <v>0</v>
      </c>
      <c r="M66" s="5">
        <f>K66/$B$8</f>
        <v>0</v>
      </c>
      <c r="N66" s="9"/>
    </row>
    <row r="67" spans="5:14" x14ac:dyDescent="0.3">
      <c r="E67" s="9">
        <v>33153</v>
      </c>
      <c r="F67" s="9" t="s">
        <v>309</v>
      </c>
      <c r="G67" s="9" t="s">
        <v>273</v>
      </c>
      <c r="H67" s="8">
        <v>46273</v>
      </c>
      <c r="I67" s="9">
        <v>2000</v>
      </c>
      <c r="J67" s="9">
        <v>2066</v>
      </c>
      <c r="K67" s="9">
        <v>0</v>
      </c>
      <c r="L67" s="60">
        <f>K67/I67</f>
        <v>0</v>
      </c>
      <c r="M67" s="5">
        <f>K67/$B$8</f>
        <v>0</v>
      </c>
      <c r="N67" s="9"/>
    </row>
    <row r="68" spans="5:14" x14ac:dyDescent="0.3">
      <c r="E68" s="9">
        <v>33162</v>
      </c>
      <c r="F68" s="9" t="s">
        <v>308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60">
        <f>K68/I68</f>
        <v>0</v>
      </c>
      <c r="M68" s="5">
        <f>K68/$B$8</f>
        <v>0</v>
      </c>
      <c r="N68" s="9"/>
    </row>
    <row r="69" spans="5:14" x14ac:dyDescent="0.3">
      <c r="E69" s="9">
        <v>33172</v>
      </c>
      <c r="F69" s="9" t="s">
        <v>307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60">
        <f>K69/I69</f>
        <v>0</v>
      </c>
      <c r="M69" s="5">
        <f>K69/$B$8</f>
        <v>0</v>
      </c>
      <c r="N69" s="9"/>
    </row>
    <row r="70" spans="5:14" x14ac:dyDescent="0.3">
      <c r="E70" s="9">
        <v>33173</v>
      </c>
      <c r="F70" s="9" t="s">
        <v>306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60">
        <f>K70/I70</f>
        <v>0</v>
      </c>
      <c r="M70" s="5">
        <f>K70/$B$8</f>
        <v>0</v>
      </c>
      <c r="N70" s="9"/>
    </row>
    <row r="71" spans="5:14" x14ac:dyDescent="0.3">
      <c r="E71" s="9">
        <v>33200</v>
      </c>
      <c r="F71" s="9" t="s">
        <v>305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60">
        <f>K71/I71</f>
        <v>0</v>
      </c>
      <c r="M71" s="5">
        <f>K71/$B$8</f>
        <v>0</v>
      </c>
      <c r="N71" s="9"/>
    </row>
    <row r="72" spans="5:14" x14ac:dyDescent="0.3">
      <c r="E72" s="9">
        <v>33201</v>
      </c>
      <c r="F72" s="9" t="s">
        <v>304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60">
        <f>K72/I72</f>
        <v>0</v>
      </c>
      <c r="M72" s="5">
        <f>K72/$B$8</f>
        <v>0</v>
      </c>
      <c r="N72" s="9"/>
    </row>
    <row r="73" spans="5:14" x14ac:dyDescent="0.3">
      <c r="E73" s="9">
        <v>33202</v>
      </c>
      <c r="F73" s="9" t="s">
        <v>303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60">
        <f>K73/I73</f>
        <v>0</v>
      </c>
      <c r="M73" s="5">
        <f>K73/$B$8</f>
        <v>0</v>
      </c>
      <c r="N73" s="9"/>
    </row>
    <row r="74" spans="5:14" x14ac:dyDescent="0.3">
      <c r="E74" s="9">
        <v>33203</v>
      </c>
      <c r="F74" s="9" t="s">
        <v>302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60">
        <f>K74/I74</f>
        <v>0</v>
      </c>
      <c r="M74" s="5">
        <f>K74/$B$8</f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4" priority="3"/>
  </conditionalFormatting>
  <conditionalFormatting sqref="D7">
    <cfRule type="duplicateValues" dxfId="3" priority="2"/>
  </conditionalFormatting>
  <conditionalFormatting sqref="D8">
    <cfRule type="duplicateValues" dxfId="2" priority="1"/>
  </conditionalFormatting>
  <conditionalFormatting sqref="E2:E41">
    <cfRule type="duplicateValues" dxfId="1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DB53A-B744-4F36-B458-18FE9D2CC2BC}">
  <sheetPr>
    <tabColor theme="1"/>
  </sheetPr>
  <dimension ref="A1:AI82"/>
  <sheetViews>
    <sheetView tabSelected="1" zoomScaleNormal="100" workbookViewId="0">
      <selection activeCell="J11" sqref="J11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3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42" t="s">
        <v>118</v>
      </c>
      <c r="B1" s="42" t="s">
        <v>255</v>
      </c>
      <c r="C1" s="42" t="s">
        <v>254</v>
      </c>
      <c r="D1" s="43" t="s">
        <v>253</v>
      </c>
      <c r="E1" s="42" t="s">
        <v>252</v>
      </c>
      <c r="F1" s="42" t="s">
        <v>251</v>
      </c>
      <c r="G1" s="41" t="s">
        <v>250</v>
      </c>
      <c r="H1" s="41" t="s">
        <v>249</v>
      </c>
    </row>
    <row r="2" spans="1:8" x14ac:dyDescent="0.3">
      <c r="A2" s="57">
        <v>33149</v>
      </c>
      <c r="B2" s="57" t="s">
        <v>349</v>
      </c>
      <c r="C2" s="9" t="s">
        <v>410</v>
      </c>
      <c r="D2" s="20">
        <v>5837</v>
      </c>
      <c r="E2" s="14">
        <f>D2/$G$2</f>
        <v>0.87761238911441886</v>
      </c>
      <c r="F2" s="9" t="s">
        <v>244</v>
      </c>
      <c r="G2" s="56">
        <f>SUM(D2:D3)</f>
        <v>6651</v>
      </c>
      <c r="H2" s="57" t="s">
        <v>243</v>
      </c>
    </row>
    <row r="3" spans="1:8" x14ac:dyDescent="0.3">
      <c r="A3" s="57"/>
      <c r="B3" s="57"/>
      <c r="C3" s="9" t="s">
        <v>409</v>
      </c>
      <c r="D3" s="20">
        <v>814</v>
      </c>
      <c r="E3" s="14">
        <f>D3/$G$2</f>
        <v>0.12238761088558112</v>
      </c>
      <c r="F3" s="9" t="s">
        <v>242</v>
      </c>
      <c r="G3" s="56"/>
      <c r="H3" s="57"/>
    </row>
    <row r="4" spans="1:8" x14ac:dyDescent="0.3">
      <c r="A4" s="34"/>
      <c r="B4" s="34"/>
      <c r="D4" s="28"/>
      <c r="E4" s="28"/>
      <c r="G4" s="40"/>
      <c r="H4" s="39"/>
    </row>
    <row r="5" spans="1:8" x14ac:dyDescent="0.3">
      <c r="A5" s="57">
        <v>33121</v>
      </c>
      <c r="B5" s="57" t="s">
        <v>344</v>
      </c>
      <c r="C5" s="9" t="s">
        <v>408</v>
      </c>
      <c r="D5" s="20">
        <v>2898</v>
      </c>
      <c r="E5" s="14">
        <f>D5/$G$5</f>
        <v>0.76504751847940866</v>
      </c>
      <c r="F5" s="9" t="s">
        <v>244</v>
      </c>
      <c r="G5" s="56">
        <f>SUM(D5:D8)</f>
        <v>3788</v>
      </c>
      <c r="H5" s="57" t="s">
        <v>243</v>
      </c>
    </row>
    <row r="6" spans="1:8" x14ac:dyDescent="0.3">
      <c r="A6" s="57"/>
      <c r="B6" s="57"/>
      <c r="C6" s="9" t="s">
        <v>407</v>
      </c>
      <c r="D6" s="20">
        <v>334</v>
      </c>
      <c r="E6" s="14">
        <f>D6/$G$5</f>
        <v>8.8173178458289328E-2</v>
      </c>
      <c r="F6" s="9" t="s">
        <v>242</v>
      </c>
      <c r="G6" s="56"/>
      <c r="H6" s="57"/>
    </row>
    <row r="7" spans="1:8" x14ac:dyDescent="0.3">
      <c r="A7" s="57"/>
      <c r="B7" s="57"/>
      <c r="C7" s="9" t="s">
        <v>406</v>
      </c>
      <c r="D7" s="20">
        <v>445</v>
      </c>
      <c r="E7" s="14">
        <f>D7/$G$5</f>
        <v>0.11747624076029567</v>
      </c>
      <c r="F7" s="9" t="s">
        <v>245</v>
      </c>
      <c r="G7" s="56"/>
      <c r="H7" s="57"/>
    </row>
    <row r="8" spans="1:8" x14ac:dyDescent="0.3">
      <c r="A8" s="57"/>
      <c r="B8" s="57"/>
      <c r="C8" s="9" t="s">
        <v>405</v>
      </c>
      <c r="D8" s="20">
        <v>111</v>
      </c>
      <c r="E8" s="14">
        <f>D8/$G$5</f>
        <v>2.9303062302006334E-2</v>
      </c>
      <c r="F8" s="9" t="s">
        <v>241</v>
      </c>
      <c r="G8" s="56"/>
      <c r="H8" s="57"/>
    </row>
    <row r="9" spans="1:8" x14ac:dyDescent="0.3">
      <c r="A9" s="34"/>
      <c r="B9" s="34"/>
      <c r="D9" s="28"/>
      <c r="E9" s="28"/>
      <c r="G9" s="38"/>
      <c r="H9" s="34"/>
    </row>
    <row r="10" spans="1:8" x14ac:dyDescent="0.3">
      <c r="A10" s="57">
        <v>33167</v>
      </c>
      <c r="B10" s="57" t="s">
        <v>317</v>
      </c>
      <c r="C10" s="9" t="s">
        <v>404</v>
      </c>
      <c r="D10" s="20">
        <v>32</v>
      </c>
      <c r="E10" s="14">
        <f>D10/$G$10</f>
        <v>1.3451029844472467E-2</v>
      </c>
      <c r="F10" s="9" t="s">
        <v>242</v>
      </c>
      <c r="G10" s="56">
        <f>SUM(D10:D12)</f>
        <v>2379</v>
      </c>
      <c r="H10" s="57" t="s">
        <v>243</v>
      </c>
    </row>
    <row r="11" spans="1:8" x14ac:dyDescent="0.3">
      <c r="A11" s="57"/>
      <c r="B11" s="57"/>
      <c r="C11" s="9" t="s">
        <v>403</v>
      </c>
      <c r="D11" s="20">
        <v>2335</v>
      </c>
      <c r="E11" s="14">
        <f>D11/$G$10</f>
        <v>0.98150483396385035</v>
      </c>
      <c r="F11" s="9" t="s">
        <v>355</v>
      </c>
      <c r="G11" s="56"/>
      <c r="H11" s="57"/>
    </row>
    <row r="12" spans="1:8" x14ac:dyDescent="0.3">
      <c r="A12" s="57"/>
      <c r="B12" s="57"/>
      <c r="C12" s="9" t="s">
        <v>402</v>
      </c>
      <c r="D12" s="20">
        <v>12</v>
      </c>
      <c r="E12" s="14">
        <f>D12/$G$10</f>
        <v>5.0441361916771753E-3</v>
      </c>
      <c r="F12" s="9" t="s">
        <v>241</v>
      </c>
      <c r="G12" s="56"/>
      <c r="H12" s="57"/>
    </row>
    <row r="13" spans="1:8" x14ac:dyDescent="0.3">
      <c r="G13" s="37"/>
      <c r="H13" s="34"/>
    </row>
    <row r="14" spans="1:8" x14ac:dyDescent="0.3">
      <c r="D14" s="44"/>
    </row>
    <row r="15" spans="1:8" x14ac:dyDescent="0.3">
      <c r="A15" s="50">
        <v>32989</v>
      </c>
      <c r="B15" s="50" t="s">
        <v>347</v>
      </c>
      <c r="C15" s="9" t="s">
        <v>401</v>
      </c>
      <c r="D15" s="9">
        <v>640</v>
      </c>
      <c r="E15" s="14">
        <f>D15/$G$15</f>
        <v>0.65775950668036998</v>
      </c>
      <c r="F15" s="9" t="s">
        <v>242</v>
      </c>
      <c r="G15" s="56">
        <f>SUM(D15:D17)</f>
        <v>973</v>
      </c>
      <c r="H15" s="57" t="s">
        <v>243</v>
      </c>
    </row>
    <row r="16" spans="1:8" x14ac:dyDescent="0.3">
      <c r="A16" s="51"/>
      <c r="B16" s="51"/>
      <c r="C16" s="9" t="s">
        <v>400</v>
      </c>
      <c r="D16" s="9">
        <v>139</v>
      </c>
      <c r="E16" s="14">
        <f>D16/$G$15</f>
        <v>0.14285714285714285</v>
      </c>
      <c r="F16" s="9" t="s">
        <v>245</v>
      </c>
      <c r="G16" s="56"/>
      <c r="H16" s="57"/>
    </row>
    <row r="17" spans="1:35" x14ac:dyDescent="0.3">
      <c r="A17" s="52"/>
      <c r="B17" s="52"/>
      <c r="C17" s="9" t="s">
        <v>399</v>
      </c>
      <c r="D17" s="9">
        <v>194</v>
      </c>
      <c r="E17" s="14">
        <f>D17/$G$15</f>
        <v>0.19938335046248715</v>
      </c>
      <c r="F17" s="9" t="s">
        <v>241</v>
      </c>
      <c r="G17" s="56"/>
      <c r="H17" s="57"/>
    </row>
    <row r="18" spans="1:35" s="33" customFormat="1" x14ac:dyDescent="0.3">
      <c r="A18" s="35"/>
      <c r="B18" s="34"/>
      <c r="C18" s="34"/>
      <c r="D18" s="36"/>
      <c r="E18" s="34"/>
      <c r="F18" s="34"/>
      <c r="G18" s="36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20" spans="1:35" x14ac:dyDescent="0.3">
      <c r="A20" s="57">
        <v>33157</v>
      </c>
      <c r="B20" s="57" t="s">
        <v>345</v>
      </c>
      <c r="C20" s="9" t="s">
        <v>398</v>
      </c>
      <c r="D20" s="20">
        <v>464</v>
      </c>
      <c r="E20" s="14">
        <f>D20/$G$20</f>
        <v>0.45048543689320386</v>
      </c>
      <c r="F20" s="9" t="s">
        <v>244</v>
      </c>
      <c r="G20" s="56">
        <f>SUM(D20:D23)</f>
        <v>1030</v>
      </c>
      <c r="H20" s="57" t="s">
        <v>243</v>
      </c>
    </row>
    <row r="21" spans="1:35" x14ac:dyDescent="0.3">
      <c r="A21" s="57"/>
      <c r="B21" s="57"/>
      <c r="C21" s="9" t="s">
        <v>397</v>
      </c>
      <c r="D21" s="20">
        <v>365</v>
      </c>
      <c r="E21" s="14">
        <f>D21/$G$20</f>
        <v>0.35436893203883496</v>
      </c>
      <c r="F21" s="9" t="s">
        <v>242</v>
      </c>
      <c r="G21" s="56"/>
      <c r="H21" s="57"/>
    </row>
    <row r="22" spans="1:35" x14ac:dyDescent="0.3">
      <c r="A22" s="57"/>
      <c r="B22" s="57"/>
      <c r="C22" s="9" t="s">
        <v>396</v>
      </c>
      <c r="D22" s="20">
        <v>155</v>
      </c>
      <c r="E22" s="14">
        <f>D22/$G$20</f>
        <v>0.15048543689320387</v>
      </c>
      <c r="F22" s="9" t="s">
        <v>355</v>
      </c>
      <c r="G22" s="56"/>
      <c r="H22" s="57"/>
    </row>
    <row r="23" spans="1:35" x14ac:dyDescent="0.3">
      <c r="A23" s="57"/>
      <c r="B23" s="57"/>
      <c r="C23" s="9" t="s">
        <v>395</v>
      </c>
      <c r="D23" s="20">
        <v>46</v>
      </c>
      <c r="E23" s="14">
        <f>D23/$G$20</f>
        <v>4.4660194174757278E-2</v>
      </c>
      <c r="F23" s="9" t="s">
        <v>241</v>
      </c>
      <c r="G23" s="56"/>
      <c r="H23" s="57"/>
    </row>
    <row r="25" spans="1:35" x14ac:dyDescent="0.3">
      <c r="A25" s="57">
        <v>32997</v>
      </c>
      <c r="B25" s="57" t="s">
        <v>343</v>
      </c>
      <c r="C25" s="9" t="s">
        <v>394</v>
      </c>
      <c r="D25" s="9">
        <v>214.1</v>
      </c>
      <c r="E25" s="14">
        <f>D25/$G$25</f>
        <v>0.53551775887943975</v>
      </c>
      <c r="F25" s="9" t="s">
        <v>244</v>
      </c>
      <c r="G25" s="56">
        <f>SUM(D25:D28)</f>
        <v>399.79999999999995</v>
      </c>
      <c r="H25" s="57" t="s">
        <v>246</v>
      </c>
    </row>
    <row r="26" spans="1:35" x14ac:dyDescent="0.3">
      <c r="A26" s="57"/>
      <c r="B26" s="57"/>
      <c r="C26" s="9" t="s">
        <v>390</v>
      </c>
      <c r="D26" s="9">
        <v>8</v>
      </c>
      <c r="E26" s="14">
        <f>D26/$G$25</f>
        <v>2.0010005002501254E-2</v>
      </c>
      <c r="F26" s="9" t="s">
        <v>256</v>
      </c>
      <c r="G26" s="56"/>
      <c r="H26" s="57"/>
    </row>
    <row r="27" spans="1:35" x14ac:dyDescent="0.3">
      <c r="A27" s="57"/>
      <c r="B27" s="57"/>
      <c r="C27" s="9" t="s">
        <v>393</v>
      </c>
      <c r="D27" s="9">
        <v>26.2</v>
      </c>
      <c r="E27" s="14">
        <f>D27/$G$25</f>
        <v>6.5532766383191596E-2</v>
      </c>
      <c r="F27" s="9" t="s">
        <v>242</v>
      </c>
      <c r="G27" s="56"/>
      <c r="H27" s="57"/>
    </row>
    <row r="28" spans="1:35" x14ac:dyDescent="0.3">
      <c r="A28" s="57"/>
      <c r="B28" s="57"/>
      <c r="C28" s="9" t="s">
        <v>392</v>
      </c>
      <c r="D28" s="9">
        <v>151.5</v>
      </c>
      <c r="E28" s="14">
        <f>D28/$G$25</f>
        <v>0.37893946973486747</v>
      </c>
      <c r="F28" s="9" t="s">
        <v>247</v>
      </c>
      <c r="G28" s="56"/>
      <c r="H28" s="57"/>
    </row>
    <row r="30" spans="1:35" x14ac:dyDescent="0.3">
      <c r="A30" s="50">
        <v>32996</v>
      </c>
      <c r="B30" s="50" t="s">
        <v>343</v>
      </c>
      <c r="C30" s="9" t="s">
        <v>391</v>
      </c>
      <c r="D30" s="20">
        <v>74.8</v>
      </c>
      <c r="E30" s="14">
        <f>D30/$G$30</f>
        <v>0.17608286252354047</v>
      </c>
      <c r="F30" s="9" t="s">
        <v>244</v>
      </c>
      <c r="G30" s="53">
        <f>SUM(D30:D34)</f>
        <v>424.8</v>
      </c>
      <c r="H30" s="50" t="s">
        <v>246</v>
      </c>
    </row>
    <row r="31" spans="1:35" x14ac:dyDescent="0.3">
      <c r="A31" s="51"/>
      <c r="B31" s="51"/>
      <c r="C31" s="9" t="s">
        <v>390</v>
      </c>
      <c r="D31" s="20">
        <v>8</v>
      </c>
      <c r="E31" s="14">
        <f>D31/$G$30</f>
        <v>1.8832391713747645E-2</v>
      </c>
      <c r="F31" s="9" t="s">
        <v>256</v>
      </c>
      <c r="G31" s="54"/>
      <c r="H31" s="51"/>
    </row>
    <row r="32" spans="1:35" x14ac:dyDescent="0.3">
      <c r="A32" s="51"/>
      <c r="B32" s="51"/>
      <c r="C32" s="9" t="s">
        <v>389</v>
      </c>
      <c r="D32" s="20">
        <v>171</v>
      </c>
      <c r="E32" s="14">
        <f>D32/$G$30</f>
        <v>0.40254237288135591</v>
      </c>
      <c r="F32" s="9" t="s">
        <v>242</v>
      </c>
      <c r="G32" s="54"/>
      <c r="H32" s="51"/>
    </row>
    <row r="33" spans="1:8" x14ac:dyDescent="0.3">
      <c r="A33" s="51"/>
      <c r="B33" s="51"/>
      <c r="C33" s="9" t="s">
        <v>388</v>
      </c>
      <c r="D33" s="20">
        <v>165.7</v>
      </c>
      <c r="E33" s="14">
        <f>D33/$G$30</f>
        <v>0.39006591337099805</v>
      </c>
      <c r="F33" s="9" t="s">
        <v>247</v>
      </c>
      <c r="G33" s="54"/>
      <c r="H33" s="51"/>
    </row>
    <row r="34" spans="1:8" x14ac:dyDescent="0.3">
      <c r="A34" s="52"/>
      <c r="B34" s="52"/>
      <c r="C34" s="9" t="s">
        <v>387</v>
      </c>
      <c r="D34" s="20">
        <v>5.3</v>
      </c>
      <c r="E34" s="14">
        <f>D34/$G$30</f>
        <v>1.2476459510357816E-2</v>
      </c>
      <c r="F34" s="9" t="s">
        <v>245</v>
      </c>
      <c r="G34" s="55"/>
      <c r="H34" s="52"/>
    </row>
    <row r="37" spans="1:8" x14ac:dyDescent="0.3">
      <c r="A37" s="57">
        <v>32970</v>
      </c>
      <c r="B37" s="57" t="s">
        <v>257</v>
      </c>
      <c r="C37" s="9" t="s">
        <v>386</v>
      </c>
      <c r="D37" s="20">
        <v>343</v>
      </c>
      <c r="E37" s="14">
        <f>D37/$G$37</f>
        <v>0.28799328295549959</v>
      </c>
      <c r="F37" s="9" t="s">
        <v>242</v>
      </c>
      <c r="G37" s="56">
        <f>SUM(D37:D39)</f>
        <v>1191</v>
      </c>
      <c r="H37" s="57" t="s">
        <v>246</v>
      </c>
    </row>
    <row r="38" spans="1:8" x14ac:dyDescent="0.3">
      <c r="A38" s="57"/>
      <c r="B38" s="57"/>
      <c r="C38" s="9" t="s">
        <v>385</v>
      </c>
      <c r="D38" s="20">
        <v>590</v>
      </c>
      <c r="E38" s="14">
        <f>D38/$G$37</f>
        <v>0.49538203190596136</v>
      </c>
      <c r="F38" s="9" t="s">
        <v>247</v>
      </c>
      <c r="G38" s="56"/>
      <c r="H38" s="57"/>
    </row>
    <row r="39" spans="1:8" x14ac:dyDescent="0.3">
      <c r="A39" s="57"/>
      <c r="B39" s="57"/>
      <c r="C39" s="9" t="s">
        <v>384</v>
      </c>
      <c r="D39" s="20">
        <v>258</v>
      </c>
      <c r="E39" s="14">
        <f>D39/$G$37</f>
        <v>0.21662468513853905</v>
      </c>
      <c r="F39" s="9" t="s">
        <v>245</v>
      </c>
      <c r="G39" s="56"/>
      <c r="H39" s="57"/>
    </row>
    <row r="41" spans="1:8" x14ac:dyDescent="0.3">
      <c r="A41" s="57">
        <v>33138</v>
      </c>
      <c r="B41" s="57" t="s">
        <v>329</v>
      </c>
      <c r="C41" s="9" t="s">
        <v>383</v>
      </c>
      <c r="D41" s="20">
        <v>1000</v>
      </c>
      <c r="E41" s="14">
        <f>D41/$G$41</f>
        <v>0.78926598263614833</v>
      </c>
      <c r="F41" s="9" t="s">
        <v>242</v>
      </c>
      <c r="G41" s="56">
        <f>SUM(D41:D43)</f>
        <v>1267</v>
      </c>
      <c r="H41" s="57" t="s">
        <v>243</v>
      </c>
    </row>
    <row r="42" spans="1:8" x14ac:dyDescent="0.3">
      <c r="A42" s="57"/>
      <c r="B42" s="57"/>
      <c r="C42" s="9" t="s">
        <v>382</v>
      </c>
      <c r="D42" s="20">
        <v>167</v>
      </c>
      <c r="E42" s="14">
        <f>D42/$G$37</f>
        <v>0.14021830394626364</v>
      </c>
      <c r="F42" s="9" t="s">
        <v>245</v>
      </c>
      <c r="G42" s="56"/>
      <c r="H42" s="57"/>
    </row>
    <row r="43" spans="1:8" x14ac:dyDescent="0.3">
      <c r="A43" s="57"/>
      <c r="B43" s="57"/>
      <c r="C43" s="9" t="s">
        <v>381</v>
      </c>
      <c r="D43" s="20">
        <v>100</v>
      </c>
      <c r="E43" s="14">
        <f>D43/$G$37</f>
        <v>8.3963056255247692E-2</v>
      </c>
      <c r="F43" s="9" t="s">
        <v>241</v>
      </c>
      <c r="G43" s="56"/>
      <c r="H43" s="57"/>
    </row>
    <row r="45" spans="1:8" x14ac:dyDescent="0.3">
      <c r="A45" s="57">
        <v>33122</v>
      </c>
      <c r="B45" s="57" t="s">
        <v>344</v>
      </c>
      <c r="C45" s="9" t="s">
        <v>380</v>
      </c>
      <c r="D45" s="20">
        <v>840</v>
      </c>
      <c r="E45" s="14">
        <f>D45/$G$45</f>
        <v>0.93333333333333335</v>
      </c>
      <c r="F45" s="9" t="s">
        <v>244</v>
      </c>
      <c r="G45" s="56">
        <f>SUM(D45:D47)</f>
        <v>900</v>
      </c>
      <c r="H45" s="57" t="s">
        <v>243</v>
      </c>
    </row>
    <row r="46" spans="1:8" x14ac:dyDescent="0.3">
      <c r="A46" s="57"/>
      <c r="B46" s="57"/>
      <c r="C46" s="9" t="s">
        <v>379</v>
      </c>
      <c r="D46" s="20">
        <v>45</v>
      </c>
      <c r="E46" s="14">
        <f>D46/$G$45</f>
        <v>0.05</v>
      </c>
      <c r="F46" s="9" t="s">
        <v>242</v>
      </c>
      <c r="G46" s="56"/>
      <c r="H46" s="57"/>
    </row>
    <row r="47" spans="1:8" x14ac:dyDescent="0.3">
      <c r="A47" s="57"/>
      <c r="B47" s="57"/>
      <c r="C47" s="9" t="s">
        <v>378</v>
      </c>
      <c r="D47" s="20">
        <v>15</v>
      </c>
      <c r="E47" s="14">
        <f>D47/$G$45</f>
        <v>1.6666666666666666E-2</v>
      </c>
      <c r="F47" s="9" t="s">
        <v>241</v>
      </c>
      <c r="G47" s="56"/>
      <c r="H47" s="57"/>
    </row>
    <row r="49" spans="1:8" x14ac:dyDescent="0.3">
      <c r="A49" s="57">
        <v>32999</v>
      </c>
      <c r="B49" s="57" t="s">
        <v>343</v>
      </c>
      <c r="C49" s="9" t="s">
        <v>377</v>
      </c>
      <c r="D49" s="20">
        <v>27</v>
      </c>
      <c r="E49" s="14">
        <f>D49/$G$49</f>
        <v>8.3128078817733986E-2</v>
      </c>
      <c r="F49" s="9" t="s">
        <v>256</v>
      </c>
      <c r="G49" s="56">
        <f>SUM(D49:D52)</f>
        <v>324.8</v>
      </c>
      <c r="H49" s="57" t="s">
        <v>246</v>
      </c>
    </row>
    <row r="50" spans="1:8" x14ac:dyDescent="0.3">
      <c r="A50" s="57"/>
      <c r="B50" s="57"/>
      <c r="C50" s="9" t="s">
        <v>376</v>
      </c>
      <c r="D50" s="20">
        <v>37.9</v>
      </c>
      <c r="E50" s="14">
        <f>D50/$G$49</f>
        <v>0.11668719211822659</v>
      </c>
      <c r="F50" s="9" t="s">
        <v>242</v>
      </c>
      <c r="G50" s="56"/>
      <c r="H50" s="57"/>
    </row>
    <row r="51" spans="1:8" x14ac:dyDescent="0.3">
      <c r="A51" s="57"/>
      <c r="B51" s="57"/>
      <c r="C51" s="9" t="s">
        <v>375</v>
      </c>
      <c r="D51" s="20">
        <v>184.1</v>
      </c>
      <c r="E51" s="14">
        <f>D51/$G$49</f>
        <v>0.56681034482758619</v>
      </c>
      <c r="F51" s="9" t="s">
        <v>247</v>
      </c>
      <c r="G51" s="56"/>
      <c r="H51" s="57"/>
    </row>
    <row r="52" spans="1:8" x14ac:dyDescent="0.3">
      <c r="A52" s="57"/>
      <c r="B52" s="57"/>
      <c r="C52" s="9" t="s">
        <v>374</v>
      </c>
      <c r="D52" s="20">
        <v>75.8</v>
      </c>
      <c r="E52" s="14">
        <f>D52/$G$49</f>
        <v>0.23337438423645318</v>
      </c>
      <c r="F52" s="9" t="s">
        <v>245</v>
      </c>
      <c r="G52" s="56"/>
      <c r="H52" s="57"/>
    </row>
    <row r="53" spans="1:8" x14ac:dyDescent="0.3">
      <c r="E53" s="63"/>
    </row>
    <row r="54" spans="1:8" x14ac:dyDescent="0.3">
      <c r="A54" s="57">
        <v>32998</v>
      </c>
      <c r="B54" s="57" t="s">
        <v>343</v>
      </c>
      <c r="C54" s="9" t="s">
        <v>373</v>
      </c>
      <c r="D54" s="20">
        <v>178.1</v>
      </c>
      <c r="E54" s="14">
        <f>D54/$G$54</f>
        <v>0.89139139139139145</v>
      </c>
      <c r="F54" s="9" t="s">
        <v>244</v>
      </c>
      <c r="G54" s="56">
        <f>SUM(D54:D56)</f>
        <v>199.79999999999998</v>
      </c>
      <c r="H54" s="57" t="s">
        <v>246</v>
      </c>
    </row>
    <row r="55" spans="1:8" x14ac:dyDescent="0.3">
      <c r="A55" s="57"/>
      <c r="B55" s="57"/>
      <c r="C55" s="9" t="s">
        <v>372</v>
      </c>
      <c r="D55" s="20">
        <v>5.6</v>
      </c>
      <c r="E55" s="14">
        <f>D55/$G$54</f>
        <v>2.8028028028028028E-2</v>
      </c>
      <c r="F55" s="9" t="s">
        <v>242</v>
      </c>
      <c r="G55" s="56"/>
      <c r="H55" s="57"/>
    </row>
    <row r="56" spans="1:8" x14ac:dyDescent="0.3">
      <c r="A56" s="57"/>
      <c r="B56" s="57"/>
      <c r="C56" s="9" t="s">
        <v>371</v>
      </c>
      <c r="D56" s="20">
        <v>16.100000000000001</v>
      </c>
      <c r="E56" s="14">
        <f>D56/$G$54</f>
        <v>8.0580580580580596E-2</v>
      </c>
      <c r="F56" s="9" t="s">
        <v>247</v>
      </c>
      <c r="G56" s="56"/>
      <c r="H56" s="57"/>
    </row>
    <row r="57" spans="1:8" x14ac:dyDescent="0.3">
      <c r="E57" s="63"/>
    </row>
    <row r="58" spans="1:8" x14ac:dyDescent="0.3">
      <c r="A58" s="57">
        <v>33087</v>
      </c>
      <c r="B58" s="57" t="s">
        <v>342</v>
      </c>
      <c r="C58" s="9" t="s">
        <v>370</v>
      </c>
      <c r="D58" s="20">
        <v>95.4</v>
      </c>
      <c r="E58" s="14">
        <f>D58/$G$58</f>
        <v>0.19083816763352673</v>
      </c>
      <c r="F58" s="9" t="s">
        <v>247</v>
      </c>
      <c r="G58" s="56">
        <f>SUM(D58:D60)</f>
        <v>499.9</v>
      </c>
      <c r="H58" s="57" t="s">
        <v>246</v>
      </c>
    </row>
    <row r="59" spans="1:8" x14ac:dyDescent="0.3">
      <c r="A59" s="57"/>
      <c r="B59" s="57"/>
      <c r="C59" s="9" t="s">
        <v>369</v>
      </c>
      <c r="D59" s="20">
        <v>106.8</v>
      </c>
      <c r="E59" s="14">
        <f>D59/$G$58</f>
        <v>0.21364272854570915</v>
      </c>
      <c r="F59" s="9" t="s">
        <v>245</v>
      </c>
      <c r="G59" s="56"/>
      <c r="H59" s="57"/>
    </row>
    <row r="60" spans="1:8" x14ac:dyDescent="0.3">
      <c r="A60" s="57"/>
      <c r="B60" s="57"/>
      <c r="C60" s="9" t="s">
        <v>368</v>
      </c>
      <c r="D60" s="20">
        <v>297.7</v>
      </c>
      <c r="E60" s="14">
        <f>D60/$G$58</f>
        <v>0.59551910382076412</v>
      </c>
      <c r="F60" s="9" t="s">
        <v>241</v>
      </c>
      <c r="G60" s="56"/>
      <c r="H60" s="57"/>
    </row>
    <row r="61" spans="1:8" x14ac:dyDescent="0.3">
      <c r="E61" s="63"/>
    </row>
    <row r="62" spans="1:8" x14ac:dyDescent="0.3">
      <c r="A62" s="57">
        <v>33123</v>
      </c>
      <c r="B62" s="57" t="s">
        <v>341</v>
      </c>
      <c r="C62" s="9" t="s">
        <v>367</v>
      </c>
      <c r="D62" s="20">
        <v>448</v>
      </c>
      <c r="E62" s="14">
        <f>D62/$G$62</f>
        <v>0.60053619302949057</v>
      </c>
      <c r="F62" s="9" t="s">
        <v>244</v>
      </c>
      <c r="G62" s="56">
        <f>SUM(D62:D64)</f>
        <v>746</v>
      </c>
      <c r="H62" s="57" t="s">
        <v>243</v>
      </c>
    </row>
    <row r="63" spans="1:8" x14ac:dyDescent="0.3">
      <c r="A63" s="57"/>
      <c r="B63" s="57"/>
      <c r="C63" s="9" t="s">
        <v>366</v>
      </c>
      <c r="D63" s="20">
        <v>149</v>
      </c>
      <c r="E63" s="14">
        <f>D63/$G$62</f>
        <v>0.19973190348525469</v>
      </c>
      <c r="F63" s="9" t="s">
        <v>242</v>
      </c>
      <c r="G63" s="56"/>
      <c r="H63" s="57"/>
    </row>
    <row r="64" spans="1:8" x14ac:dyDescent="0.3">
      <c r="A64" s="57"/>
      <c r="B64" s="57"/>
      <c r="C64" s="9" t="s">
        <v>365</v>
      </c>
      <c r="D64" s="20">
        <v>149</v>
      </c>
      <c r="E64" s="14">
        <f>D64/$G$62</f>
        <v>0.19973190348525469</v>
      </c>
      <c r="F64" s="9" t="s">
        <v>248</v>
      </c>
      <c r="G64" s="56"/>
      <c r="H64" s="57"/>
    </row>
    <row r="65" spans="1:8" x14ac:dyDescent="0.3">
      <c r="E65" s="63"/>
    </row>
    <row r="66" spans="1:8" x14ac:dyDescent="0.3">
      <c r="A66" s="57">
        <v>33119</v>
      </c>
      <c r="B66" s="57" t="s">
        <v>340</v>
      </c>
      <c r="C66" s="9" t="s">
        <v>364</v>
      </c>
      <c r="D66" s="20">
        <v>106</v>
      </c>
      <c r="E66" s="14">
        <f>D66/$G$66</f>
        <v>0.23503325942350334</v>
      </c>
      <c r="F66" s="9" t="s">
        <v>242</v>
      </c>
      <c r="G66" s="56">
        <f>SUM(D66:D68)</f>
        <v>451</v>
      </c>
      <c r="H66" s="57" t="s">
        <v>243</v>
      </c>
    </row>
    <row r="67" spans="1:8" x14ac:dyDescent="0.3">
      <c r="A67" s="57"/>
      <c r="B67" s="57"/>
      <c r="C67" s="9" t="s">
        <v>363</v>
      </c>
      <c r="D67" s="20">
        <v>266</v>
      </c>
      <c r="E67" s="14">
        <f>D67/$G$66</f>
        <v>0.58980044345898008</v>
      </c>
      <c r="F67" s="9" t="s">
        <v>301</v>
      </c>
      <c r="G67" s="56"/>
      <c r="H67" s="57"/>
    </row>
    <row r="68" spans="1:8" x14ac:dyDescent="0.3">
      <c r="A68" s="57"/>
      <c r="B68" s="57"/>
      <c r="C68" s="9" t="s">
        <v>362</v>
      </c>
      <c r="D68" s="20">
        <v>79</v>
      </c>
      <c r="E68" s="14">
        <f>D68/$G$66</f>
        <v>0.17516629711751663</v>
      </c>
      <c r="F68" s="9" t="s">
        <v>241</v>
      </c>
      <c r="G68" s="56"/>
      <c r="H68" s="57"/>
    </row>
    <row r="69" spans="1:8" x14ac:dyDescent="0.3">
      <c r="E69" s="63"/>
    </row>
    <row r="70" spans="1:8" x14ac:dyDescent="0.3">
      <c r="A70" s="57">
        <v>33083</v>
      </c>
      <c r="B70" s="57" t="s">
        <v>336</v>
      </c>
      <c r="C70" s="9" t="s">
        <v>361</v>
      </c>
      <c r="D70" s="20">
        <v>252.1</v>
      </c>
      <c r="E70" s="14">
        <f>D70/$G$70</f>
        <v>0.27113357711335767</v>
      </c>
      <c r="F70" s="9" t="s">
        <v>242</v>
      </c>
      <c r="G70" s="56">
        <f>SUM(D70:D73)</f>
        <v>929.80000000000007</v>
      </c>
      <c r="H70" s="57" t="s">
        <v>246</v>
      </c>
    </row>
    <row r="71" spans="1:8" x14ac:dyDescent="0.3">
      <c r="A71" s="57"/>
      <c r="B71" s="57"/>
      <c r="C71" s="9" t="s">
        <v>360</v>
      </c>
      <c r="D71" s="20">
        <v>456.5</v>
      </c>
      <c r="E71" s="14">
        <f>D71/$G$70</f>
        <v>0.49096579909657989</v>
      </c>
      <c r="F71" s="9" t="s">
        <v>247</v>
      </c>
      <c r="G71" s="56"/>
      <c r="H71" s="57"/>
    </row>
    <row r="72" spans="1:8" x14ac:dyDescent="0.3">
      <c r="A72" s="57"/>
      <c r="B72" s="57"/>
      <c r="C72" s="9" t="s">
        <v>359</v>
      </c>
      <c r="D72" s="20">
        <v>154</v>
      </c>
      <c r="E72" s="14">
        <f>D72/$G$70</f>
        <v>0.16562701656270165</v>
      </c>
      <c r="F72" s="9" t="s">
        <v>245</v>
      </c>
      <c r="G72" s="56"/>
      <c r="H72" s="57"/>
    </row>
    <row r="73" spans="1:8" x14ac:dyDescent="0.3">
      <c r="A73" s="57"/>
      <c r="B73" s="57"/>
      <c r="C73" s="9" t="s">
        <v>358</v>
      </c>
      <c r="D73" s="20">
        <v>67.2</v>
      </c>
      <c r="E73" s="14">
        <f>D73/$G$70</f>
        <v>7.2273607227360717E-2</v>
      </c>
      <c r="F73" s="9" t="s">
        <v>241</v>
      </c>
      <c r="G73" s="56"/>
      <c r="H73" s="57"/>
    </row>
    <row r="74" spans="1:8" x14ac:dyDescent="0.3">
      <c r="E74" s="64"/>
    </row>
    <row r="75" spans="1:8" x14ac:dyDescent="0.3">
      <c r="A75" s="57">
        <v>33159</v>
      </c>
      <c r="B75" s="57" t="s">
        <v>334</v>
      </c>
      <c r="C75" s="9" t="s">
        <v>357</v>
      </c>
      <c r="D75" s="20">
        <v>20</v>
      </c>
      <c r="E75" s="14">
        <f>D75/$G$58</f>
        <v>4.0008001600320066E-2</v>
      </c>
      <c r="F75" s="9" t="s">
        <v>242</v>
      </c>
      <c r="G75" s="56">
        <f>SUM(D75:D77)</f>
        <v>237</v>
      </c>
      <c r="H75" s="57" t="s">
        <v>243</v>
      </c>
    </row>
    <row r="76" spans="1:8" x14ac:dyDescent="0.3">
      <c r="A76" s="57"/>
      <c r="B76" s="57"/>
      <c r="C76" s="9" t="s">
        <v>356</v>
      </c>
      <c r="D76" s="20">
        <v>193</v>
      </c>
      <c r="E76" s="14">
        <f>D76/$G$58</f>
        <v>0.38607721544308865</v>
      </c>
      <c r="F76" s="9" t="s">
        <v>355</v>
      </c>
      <c r="G76" s="56"/>
      <c r="H76" s="57"/>
    </row>
    <row r="77" spans="1:8" x14ac:dyDescent="0.3">
      <c r="A77" s="57"/>
      <c r="B77" s="57"/>
      <c r="C77" s="9" t="s">
        <v>354</v>
      </c>
      <c r="D77" s="20">
        <v>24</v>
      </c>
      <c r="E77" s="14">
        <f>D77/$G$58</f>
        <v>4.800960192038408E-2</v>
      </c>
      <c r="F77" s="9" t="s">
        <v>241</v>
      </c>
      <c r="G77" s="56"/>
      <c r="H77" s="57"/>
    </row>
    <row r="78" spans="1:8" x14ac:dyDescent="0.3">
      <c r="E78" s="63"/>
    </row>
    <row r="79" spans="1:8" x14ac:dyDescent="0.3">
      <c r="A79" s="57">
        <v>32957</v>
      </c>
      <c r="B79" s="57" t="s">
        <v>333</v>
      </c>
      <c r="C79" s="9" t="s">
        <v>353</v>
      </c>
      <c r="D79" s="20">
        <v>305</v>
      </c>
      <c r="E79" s="14">
        <f>D79/$G$79</f>
        <v>0.50008198065256604</v>
      </c>
      <c r="F79" s="9" t="s">
        <v>242</v>
      </c>
      <c r="G79" s="56">
        <f>SUM(D79:D82)</f>
        <v>609.9</v>
      </c>
      <c r="H79" s="57" t="s">
        <v>246</v>
      </c>
    </row>
    <row r="80" spans="1:8" x14ac:dyDescent="0.3">
      <c r="A80" s="57"/>
      <c r="B80" s="57"/>
      <c r="C80" s="9" t="s">
        <v>352</v>
      </c>
      <c r="D80" s="20">
        <v>168.2</v>
      </c>
      <c r="E80" s="14">
        <f>D80/$G$79</f>
        <v>0.27578291523200527</v>
      </c>
      <c r="F80" s="9" t="s">
        <v>247</v>
      </c>
      <c r="G80" s="56"/>
      <c r="H80" s="57"/>
    </row>
    <row r="81" spans="1:8" x14ac:dyDescent="0.3">
      <c r="A81" s="57"/>
      <c r="B81" s="57"/>
      <c r="C81" s="9" t="s">
        <v>351</v>
      </c>
      <c r="D81" s="20">
        <v>120.3</v>
      </c>
      <c r="E81" s="14">
        <f>D81/$G$79</f>
        <v>0.19724545007378258</v>
      </c>
      <c r="F81" s="9" t="s">
        <v>245</v>
      </c>
      <c r="G81" s="56"/>
      <c r="H81" s="57"/>
    </row>
    <row r="82" spans="1:8" x14ac:dyDescent="0.3">
      <c r="A82" s="57"/>
      <c r="B82" s="57"/>
      <c r="C82" s="9" t="s">
        <v>350</v>
      </c>
      <c r="D82" s="20">
        <v>16.399999999999999</v>
      </c>
      <c r="E82" s="14">
        <f>D82/$G$79</f>
        <v>2.6889654041646172E-2</v>
      </c>
      <c r="F82" s="9" t="s">
        <v>241</v>
      </c>
      <c r="G82" s="56"/>
      <c r="H82" s="57"/>
    </row>
  </sheetData>
  <mergeCells count="72">
    <mergeCell ref="A2:A3"/>
    <mergeCell ref="B2:B3"/>
    <mergeCell ref="G2:G3"/>
    <mergeCell ref="H2:H3"/>
    <mergeCell ref="A5:A8"/>
    <mergeCell ref="B5:B8"/>
    <mergeCell ref="G5:G8"/>
    <mergeCell ref="H5:H8"/>
    <mergeCell ref="A10:A12"/>
    <mergeCell ref="B10:B12"/>
    <mergeCell ref="G10:G12"/>
    <mergeCell ref="H10:H12"/>
    <mergeCell ref="A15:A17"/>
    <mergeCell ref="B15:B17"/>
    <mergeCell ref="G15:G17"/>
    <mergeCell ref="H15:H17"/>
    <mergeCell ref="A20:A23"/>
    <mergeCell ref="B20:B23"/>
    <mergeCell ref="G20:G23"/>
    <mergeCell ref="H20:H23"/>
    <mergeCell ref="A25:A28"/>
    <mergeCell ref="B25:B28"/>
    <mergeCell ref="G25:G28"/>
    <mergeCell ref="H25:H28"/>
    <mergeCell ref="A30:A34"/>
    <mergeCell ref="B30:B34"/>
    <mergeCell ref="G30:G34"/>
    <mergeCell ref="H30:H34"/>
    <mergeCell ref="A37:A39"/>
    <mergeCell ref="B37:B39"/>
    <mergeCell ref="G37:G39"/>
    <mergeCell ref="H37:H39"/>
    <mergeCell ref="A41:A43"/>
    <mergeCell ref="B41:B43"/>
    <mergeCell ref="G41:G43"/>
    <mergeCell ref="H41:H43"/>
    <mergeCell ref="A45:A47"/>
    <mergeCell ref="B45:B47"/>
    <mergeCell ref="G45:G47"/>
    <mergeCell ref="H45:H47"/>
    <mergeCell ref="A49:A52"/>
    <mergeCell ref="B49:B52"/>
    <mergeCell ref="G49:G52"/>
    <mergeCell ref="H49:H52"/>
    <mergeCell ref="A54:A56"/>
    <mergeCell ref="B54:B56"/>
    <mergeCell ref="G54:G56"/>
    <mergeCell ref="H54:H56"/>
    <mergeCell ref="A58:A60"/>
    <mergeCell ref="B58:B60"/>
    <mergeCell ref="G58:G60"/>
    <mergeCell ref="H58:H60"/>
    <mergeCell ref="A62:A64"/>
    <mergeCell ref="B62:B64"/>
    <mergeCell ref="G62:G64"/>
    <mergeCell ref="H62:H64"/>
    <mergeCell ref="A66:A68"/>
    <mergeCell ref="B66:B68"/>
    <mergeCell ref="G66:G68"/>
    <mergeCell ref="H66:H68"/>
    <mergeCell ref="A70:A73"/>
    <mergeCell ref="B70:B73"/>
    <mergeCell ref="G70:G73"/>
    <mergeCell ref="H70:H73"/>
    <mergeCell ref="A75:A77"/>
    <mergeCell ref="B75:B77"/>
    <mergeCell ref="G75:G77"/>
    <mergeCell ref="H75:H77"/>
    <mergeCell ref="A79:A82"/>
    <mergeCell ref="B79:B82"/>
    <mergeCell ref="G79:G82"/>
    <mergeCell ref="H79:H82"/>
  </mergeCells>
  <conditionalFormatting sqref="A2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sem 32</vt:lpstr>
      <vt:lpstr>sem 33</vt:lpstr>
      <vt:lpstr>sem 34</vt:lpstr>
      <vt:lpstr>sem 35</vt:lpstr>
      <vt:lpstr>sem 36</vt:lpstr>
      <vt:lpstr>sem 37</vt:lpstr>
      <vt:lpstr>DETALLE MERMAS sem 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2026-09-14T16:33:16Z</dcterms:modified>
</cp:coreProperties>
</file>